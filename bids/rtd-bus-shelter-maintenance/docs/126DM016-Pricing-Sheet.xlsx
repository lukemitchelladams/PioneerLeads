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N:\Administration\Purchasing\Contracts\Marla 2026\126DM016 - Bus Shelter Maintenance Services\PR Docs\"/>
    </mc:Choice>
  </mc:AlternateContent>
  <xr:revisionPtr revIDLastSave="0" documentId="13_ncr:1_{082790C1-09ED-4860-AFB9-EE86F9806D5F}" xr6:coauthVersionLast="47" xr6:coauthVersionMax="47" xr10:uidLastSave="{00000000-0000-0000-0000-000000000000}"/>
  <bookViews>
    <workbookView xWindow="28680" yWindow="-283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E44" i="1"/>
  <c r="J43" i="1"/>
  <c r="E43" i="1"/>
  <c r="J42" i="1"/>
  <c r="E42" i="1"/>
  <c r="J41" i="1"/>
  <c r="E41" i="1"/>
  <c r="J37" i="1"/>
  <c r="E37" i="1"/>
  <c r="J36" i="1"/>
  <c r="E36" i="1"/>
  <c r="J35" i="1"/>
  <c r="E35" i="1"/>
  <c r="J34" i="1"/>
  <c r="E34" i="1"/>
  <c r="J30" i="1"/>
  <c r="E30" i="1"/>
  <c r="J29" i="1"/>
  <c r="E29" i="1"/>
  <c r="J19" i="1"/>
  <c r="O19" i="1"/>
  <c r="O18" i="1"/>
  <c r="E19" i="1"/>
  <c r="J18" i="1"/>
  <c r="E18" i="1"/>
  <c r="O12" i="1"/>
  <c r="O7" i="1"/>
  <c r="J6" i="1"/>
  <c r="J7" i="1"/>
  <c r="O11" i="1"/>
  <c r="O6" i="1"/>
  <c r="J13" i="1"/>
  <c r="J12" i="1"/>
  <c r="E12" i="1"/>
  <c r="E11" i="1"/>
  <c r="E7" i="1"/>
  <c r="E6" i="1"/>
  <c r="J11" i="1"/>
  <c r="E20" i="1"/>
  <c r="J20" i="1"/>
  <c r="J14" i="1"/>
  <c r="O21" i="1"/>
  <c r="O20" i="1"/>
  <c r="J21" i="1"/>
  <c r="O14" i="1"/>
  <c r="O13" i="1"/>
  <c r="E21" i="1"/>
  <c r="E14" i="1"/>
  <c r="E13" i="1"/>
  <c r="B31" i="1" l="1"/>
  <c r="G31" i="1"/>
  <c r="B15" i="1"/>
  <c r="B38" i="1"/>
  <c r="G45" i="1"/>
  <c r="G38" i="1"/>
  <c r="B45" i="1"/>
  <c r="L15" i="1"/>
  <c r="G8" i="1"/>
  <c r="L22" i="1"/>
  <c r="G22" i="1"/>
  <c r="L8" i="1"/>
  <c r="G15" i="1"/>
  <c r="B22" i="1"/>
  <c r="B8" i="1"/>
  <c r="B46" i="1" l="1"/>
  <c r="G46" i="1"/>
  <c r="B49" i="1"/>
  <c r="L23" i="1"/>
  <c r="G23" i="1"/>
  <c r="B23" i="1"/>
  <c r="B48" i="1" l="1"/>
  <c r="B50" i="1" s="1"/>
</calcChain>
</file>

<file path=xl/sharedStrings.xml><?xml version="1.0" encoding="utf-8"?>
<sst xmlns="http://schemas.openxmlformats.org/spreadsheetml/2006/main" count="270" uniqueCount="46">
  <si>
    <t>RTD BUS SHELTER MAINTENANCE</t>
  </si>
  <si>
    <t>PRICING SHEET</t>
  </si>
  <si>
    <t>BASE YEAR ONE</t>
  </si>
  <si>
    <t>BASE YEAR TWO</t>
  </si>
  <si>
    <t>BASE YEAR THREE</t>
  </si>
  <si>
    <t>OPTION YEAR ONE</t>
  </si>
  <si>
    <t>OPTION YEAR TWO</t>
  </si>
  <si>
    <t>Task</t>
  </si>
  <si>
    <t>Price per service</t>
  </si>
  <si>
    <t>Quantity</t>
  </si>
  <si>
    <t>Period</t>
  </si>
  <si>
    <t>Total</t>
  </si>
  <si>
    <t>Custodial/Graffiti Removal Services</t>
  </si>
  <si>
    <t>52 weeks</t>
  </si>
  <si>
    <t>Snow Removal Services</t>
  </si>
  <si>
    <t>70 events</t>
  </si>
  <si>
    <t>BASE YEAR ONE TOTAL:</t>
  </si>
  <si>
    <t>BASE YEAR TWO TOTAL:</t>
  </si>
  <si>
    <t>BASE YEAR THREE TOTAL:</t>
  </si>
  <si>
    <t>OPTION YEAR ONE TOTAL:</t>
  </si>
  <si>
    <t>OPTION YEAR TWO TOTAL:</t>
  </si>
  <si>
    <t>BASE TOTAL</t>
  </si>
  <si>
    <t>OPTION YEAR TOTAL</t>
  </si>
  <si>
    <t>TOTAL CONTRACT COST</t>
  </si>
  <si>
    <t>GROUP 3</t>
  </si>
  <si>
    <t xml:space="preserve">North Federal </t>
  </si>
  <si>
    <t>South Federal</t>
  </si>
  <si>
    <t xml:space="preserve">Colfax &amp; Federal Transfer Center Snow Removal </t>
  </si>
  <si>
    <t>Service daily</t>
  </si>
  <si>
    <t>365 days</t>
  </si>
  <si>
    <t>Price per month</t>
  </si>
  <si>
    <t xml:space="preserve">8 months </t>
  </si>
  <si>
    <t>Federal &amp; Evans Transfer Center Custodial (includes DRS)</t>
  </si>
  <si>
    <t xml:space="preserve">Federal &amp; Evans Transfer Center Snow Removal </t>
  </si>
  <si>
    <t>Colfax &amp; Federal Transfer Center Custodial (includes DRS)</t>
  </si>
  <si>
    <t>Federal &amp; Evans Transfer Center Snow Removal</t>
  </si>
  <si>
    <t xml:space="preserve">8 Months </t>
  </si>
  <si>
    <t xml:space="preserve">Price per month </t>
  </si>
  <si>
    <t>8 Months</t>
  </si>
  <si>
    <t>Price per Month</t>
  </si>
  <si>
    <t>45 weekly cleanings</t>
  </si>
  <si>
    <t>85 weekly cleanings</t>
  </si>
  <si>
    <t>17 shelters</t>
  </si>
  <si>
    <t>9 shelters</t>
  </si>
  <si>
    <t>16 shelters</t>
  </si>
  <si>
    <t>80 weekly cleanings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</si>
</sst>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4" fillId="0" borderId="7" xfId="0" applyFont="1" applyBorder="1"/>
    <xf numFmtId="0" fontId="4" fillId="0" borderId="8" xfId="0" applyFont="1" applyBorder="1"/>
    <xf numFmtId="0" fontId="0" fillId="0" borderId="7" xfId="0" applyBorder="1"/>
    <xf numFmtId="8" fontId="0" fillId="0" borderId="8" xfId="0" applyNumberFormat="1" applyBorder="1"/>
    <xf numFmtId="0" fontId="1" fillId="0" borderId="9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" fillId="2" borderId="14" xfId="0" applyFont="1" applyFill="1" applyBorder="1"/>
    <xf numFmtId="8" fontId="1" fillId="2" borderId="14" xfId="0" applyNumberFormat="1" applyFont="1" applyFill="1" applyBorder="1"/>
    <xf numFmtId="0" fontId="0" fillId="0" borderId="15" xfId="0" applyBorder="1"/>
    <xf numFmtId="0" fontId="0" fillId="0" borderId="16" xfId="0" applyBorder="1"/>
    <xf numFmtId="8" fontId="0" fillId="0" borderId="17" xfId="0" applyNumberFormat="1" applyBorder="1"/>
    <xf numFmtId="0" fontId="0" fillId="0" borderId="16" xfId="0" applyBorder="1" applyAlignment="1">
      <alignment horizontal="left"/>
    </xf>
    <xf numFmtId="0" fontId="6" fillId="0" borderId="0" xfId="0" applyFont="1" applyBorder="1" applyAlignment="1">
      <alignment horizontal="right"/>
    </xf>
    <xf numFmtId="8" fontId="6" fillId="0" borderId="0" xfId="0" applyNumberFormat="1" applyFont="1" applyBorder="1"/>
    <xf numFmtId="0" fontId="6" fillId="0" borderId="0" xfId="0" applyFont="1" applyBorder="1"/>
    <xf numFmtId="8" fontId="0" fillId="0" borderId="10" xfId="0" applyNumberFormat="1" applyBorder="1" applyAlignment="1"/>
    <xf numFmtId="0" fontId="0" fillId="0" borderId="10" xfId="0" applyBorder="1" applyAlignment="1"/>
    <xf numFmtId="0" fontId="0" fillId="0" borderId="11" xfId="0" applyBorder="1" applyAlignment="1"/>
    <xf numFmtId="8" fontId="6" fillId="0" borderId="13" xfId="0" applyNumberFormat="1" applyFont="1" applyBorder="1" applyAlignment="1"/>
    <xf numFmtId="0" fontId="6" fillId="0" borderId="13" xfId="0" applyFont="1" applyBorder="1" applyAlignment="1"/>
    <xf numFmtId="0" fontId="6" fillId="0" borderId="12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0" xfId="0" applyFont="1" applyAlignment="1"/>
    <xf numFmtId="8" fontId="0" fillId="0" borderId="1" xfId="0" applyNumberFormat="1" applyBorder="1" applyProtection="1">
      <protection locked="0"/>
    </xf>
    <xf numFmtId="8" fontId="0" fillId="0" borderId="16" xfId="0" applyNumberFormat="1" applyBorder="1" applyProtection="1">
      <protection locked="0"/>
    </xf>
    <xf numFmtId="8" fontId="6" fillId="0" borderId="0" xfId="0" applyNumberFormat="1" applyFont="1" applyBorder="1" applyAlignment="1"/>
    <xf numFmtId="0" fontId="6" fillId="0" borderId="0" xfId="0" applyFont="1" applyBorder="1" applyAlignment="1"/>
    <xf numFmtId="0" fontId="7" fillId="0" borderId="2" xfId="0" applyFont="1" applyBorder="1" applyAlignment="1">
      <alignment vertical="center"/>
    </xf>
    <xf numFmtId="0" fontId="3" fillId="3" borderId="4" xfId="0" applyFont="1" applyFill="1" applyBorder="1" applyAlignment="1"/>
    <xf numFmtId="0" fontId="3" fillId="4" borderId="4" xfId="0" applyFont="1" applyFill="1" applyBorder="1" applyAlignment="1"/>
    <xf numFmtId="0" fontId="3" fillId="5" borderId="4" xfId="0" applyFont="1" applyFill="1" applyBorder="1" applyAlignment="1"/>
    <xf numFmtId="0" fontId="4" fillId="0" borderId="1" xfId="0" applyFont="1" applyBorder="1" applyProtection="1"/>
    <xf numFmtId="8" fontId="0" fillId="0" borderId="10" xfId="0" applyNumberFormat="1" applyBorder="1" applyAlignment="1" applyProtection="1"/>
    <xf numFmtId="0" fontId="0" fillId="0" borderId="5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="77" zoomScaleNormal="77" workbookViewId="0">
      <selection activeCell="L18" sqref="L18"/>
    </sheetView>
  </sheetViews>
  <sheetFormatPr defaultRowHeight="15" customHeight="1" x14ac:dyDescent="0.35"/>
  <cols>
    <col min="1" max="1" width="51.453125" customWidth="1"/>
    <col min="2" max="2" width="14.453125" customWidth="1"/>
    <col min="3" max="3" width="19.7265625" customWidth="1"/>
    <col min="4" max="4" width="10.54296875" customWidth="1"/>
    <col min="5" max="5" width="13.54296875" customWidth="1"/>
    <col min="6" max="6" width="51" customWidth="1"/>
    <col min="7" max="7" width="14.453125" customWidth="1"/>
    <col min="8" max="8" width="19.81640625" customWidth="1"/>
    <col min="9" max="9" width="12.54296875" customWidth="1"/>
    <col min="10" max="10" width="12" customWidth="1"/>
    <col min="11" max="11" width="50.7265625" customWidth="1"/>
    <col min="12" max="12" width="15.1796875" customWidth="1"/>
    <col min="13" max="13" width="18.54296875" customWidth="1"/>
    <col min="14" max="14" width="9.453125" customWidth="1"/>
    <col min="15" max="15" width="12.26953125" customWidth="1"/>
  </cols>
  <sheetData>
    <row r="1" spans="1:15" ht="26" x14ac:dyDescent="0.6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8.5" x14ac:dyDescent="0.3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24" thickBot="1" x14ac:dyDescent="0.4">
      <c r="A3" s="34" t="s">
        <v>2</v>
      </c>
      <c r="B3" s="27"/>
      <c r="C3" s="27"/>
      <c r="D3" s="27"/>
      <c r="E3" s="28"/>
      <c r="F3" s="34" t="s">
        <v>3</v>
      </c>
      <c r="G3" s="27"/>
      <c r="H3" s="27"/>
      <c r="I3" s="27"/>
      <c r="J3" s="28"/>
      <c r="K3" s="34" t="s">
        <v>4</v>
      </c>
      <c r="L3" s="27"/>
      <c r="M3" s="27"/>
      <c r="N3" s="27"/>
      <c r="O3" s="28"/>
    </row>
    <row r="4" spans="1:15" ht="15.5" x14ac:dyDescent="0.35">
      <c r="A4" s="35" t="s">
        <v>24</v>
      </c>
      <c r="B4" s="24"/>
      <c r="C4" s="24"/>
      <c r="D4" s="24"/>
      <c r="E4" s="25"/>
      <c r="F4" s="35" t="s">
        <v>24</v>
      </c>
      <c r="G4" s="24"/>
      <c r="H4" s="24"/>
      <c r="I4" s="24"/>
      <c r="J4" s="25"/>
      <c r="K4" s="35" t="s">
        <v>24</v>
      </c>
      <c r="L4" s="24"/>
      <c r="M4" s="24"/>
      <c r="N4" s="24"/>
      <c r="O4" s="25"/>
    </row>
    <row r="5" spans="1:15" ht="14.5" x14ac:dyDescent="0.35">
      <c r="A5" s="3" t="s">
        <v>7</v>
      </c>
      <c r="B5" s="1" t="s">
        <v>8</v>
      </c>
      <c r="C5" s="1" t="s">
        <v>9</v>
      </c>
      <c r="D5" s="1" t="s">
        <v>10</v>
      </c>
      <c r="E5" s="4" t="s">
        <v>11</v>
      </c>
      <c r="F5" s="3" t="s">
        <v>7</v>
      </c>
      <c r="G5" s="1" t="s">
        <v>8</v>
      </c>
      <c r="H5" s="1" t="s">
        <v>9</v>
      </c>
      <c r="I5" s="1" t="s">
        <v>10</v>
      </c>
      <c r="J5" s="4" t="s">
        <v>11</v>
      </c>
      <c r="K5" s="3" t="s">
        <v>7</v>
      </c>
      <c r="L5" s="1" t="s">
        <v>8</v>
      </c>
      <c r="M5" s="1" t="s">
        <v>9</v>
      </c>
      <c r="N5" s="1" t="s">
        <v>10</v>
      </c>
      <c r="O5" s="4" t="s">
        <v>11</v>
      </c>
    </row>
    <row r="6" spans="1:15" ht="14.5" x14ac:dyDescent="0.35">
      <c r="A6" s="5" t="s">
        <v>12</v>
      </c>
      <c r="B6" s="30"/>
      <c r="C6" s="2" t="s">
        <v>41</v>
      </c>
      <c r="D6" s="2" t="s">
        <v>13</v>
      </c>
      <c r="E6" s="6">
        <f>B6*85*52</f>
        <v>0</v>
      </c>
      <c r="F6" s="5" t="s">
        <v>12</v>
      </c>
      <c r="G6" s="30"/>
      <c r="H6" s="2" t="s">
        <v>41</v>
      </c>
      <c r="I6" s="2" t="s">
        <v>13</v>
      </c>
      <c r="J6" s="6">
        <f>G6*85*52</f>
        <v>0</v>
      </c>
      <c r="K6" s="5" t="s">
        <v>12</v>
      </c>
      <c r="L6" s="30"/>
      <c r="M6" s="2" t="s">
        <v>41</v>
      </c>
      <c r="N6" s="2" t="s">
        <v>13</v>
      </c>
      <c r="O6" s="6">
        <f>L6*85*52</f>
        <v>0</v>
      </c>
    </row>
    <row r="7" spans="1:15" ht="14.5" x14ac:dyDescent="0.35">
      <c r="A7" s="5" t="s">
        <v>14</v>
      </c>
      <c r="B7" s="30"/>
      <c r="C7" s="2" t="s">
        <v>42</v>
      </c>
      <c r="D7" s="2" t="s">
        <v>15</v>
      </c>
      <c r="E7" s="6">
        <f>B7*17*70</f>
        <v>0</v>
      </c>
      <c r="F7" s="5" t="s">
        <v>14</v>
      </c>
      <c r="G7" s="30"/>
      <c r="H7" s="2" t="s">
        <v>42</v>
      </c>
      <c r="I7" s="2" t="s">
        <v>15</v>
      </c>
      <c r="J7" s="6">
        <f>G7*17*70</f>
        <v>0</v>
      </c>
      <c r="K7" s="5" t="s">
        <v>14</v>
      </c>
      <c r="L7" s="30"/>
      <c r="M7" s="2" t="s">
        <v>42</v>
      </c>
      <c r="N7" s="2" t="s">
        <v>15</v>
      </c>
      <c r="O7" s="6">
        <f>L7*17*70</f>
        <v>0</v>
      </c>
    </row>
    <row r="8" spans="1:15" thickBot="1" x14ac:dyDescent="0.4">
      <c r="A8" s="7" t="s">
        <v>11</v>
      </c>
      <c r="B8" s="39">
        <f>E6+E7</f>
        <v>0</v>
      </c>
      <c r="C8" s="19"/>
      <c r="D8" s="19"/>
      <c r="E8" s="20"/>
      <c r="F8" s="7" t="s">
        <v>11</v>
      </c>
      <c r="G8" s="18">
        <f>J6+J7</f>
        <v>0</v>
      </c>
      <c r="H8" s="19"/>
      <c r="I8" s="19"/>
      <c r="J8" s="20"/>
      <c r="K8" s="7" t="s">
        <v>11</v>
      </c>
      <c r="L8" s="18">
        <f>O6+O7</f>
        <v>0</v>
      </c>
      <c r="M8" s="19"/>
      <c r="N8" s="19"/>
      <c r="O8" s="20"/>
    </row>
    <row r="9" spans="1:15" ht="15.5" x14ac:dyDescent="0.35">
      <c r="A9" s="36" t="s">
        <v>25</v>
      </c>
      <c r="B9" s="40"/>
      <c r="C9" s="24"/>
      <c r="D9" s="24"/>
      <c r="E9" s="25"/>
      <c r="F9" s="36" t="s">
        <v>25</v>
      </c>
      <c r="G9" s="24"/>
      <c r="H9" s="24"/>
      <c r="I9" s="24"/>
      <c r="J9" s="25"/>
      <c r="K9" s="36" t="s">
        <v>25</v>
      </c>
      <c r="L9" s="24"/>
      <c r="M9" s="24"/>
      <c r="N9" s="24"/>
      <c r="O9" s="25"/>
    </row>
    <row r="10" spans="1:15" ht="14.5" x14ac:dyDescent="0.35">
      <c r="A10" s="3" t="s">
        <v>7</v>
      </c>
      <c r="B10" s="38" t="s">
        <v>8</v>
      </c>
      <c r="C10" s="1" t="s">
        <v>9</v>
      </c>
      <c r="D10" s="1" t="s">
        <v>10</v>
      </c>
      <c r="E10" s="4" t="s">
        <v>11</v>
      </c>
      <c r="F10" s="3" t="s">
        <v>7</v>
      </c>
      <c r="G10" s="1" t="s">
        <v>8</v>
      </c>
      <c r="H10" s="1" t="s">
        <v>9</v>
      </c>
      <c r="I10" s="1" t="s">
        <v>10</v>
      </c>
      <c r="J10" s="4" t="s">
        <v>11</v>
      </c>
      <c r="K10" s="3" t="s">
        <v>7</v>
      </c>
      <c r="L10" s="1" t="s">
        <v>8</v>
      </c>
      <c r="M10" s="1" t="s">
        <v>9</v>
      </c>
      <c r="N10" s="1" t="s">
        <v>10</v>
      </c>
      <c r="O10" s="4" t="s">
        <v>11</v>
      </c>
    </row>
    <row r="11" spans="1:15" ht="14.5" x14ac:dyDescent="0.35">
      <c r="A11" s="5" t="s">
        <v>12</v>
      </c>
      <c r="B11" s="30"/>
      <c r="C11" s="2" t="s">
        <v>40</v>
      </c>
      <c r="D11" s="2" t="s">
        <v>13</v>
      </c>
      <c r="E11" s="6">
        <f>B11*45*52</f>
        <v>0</v>
      </c>
      <c r="F11" s="5" t="s">
        <v>12</v>
      </c>
      <c r="G11" s="30"/>
      <c r="H11" s="2" t="s">
        <v>40</v>
      </c>
      <c r="I11" s="2" t="s">
        <v>13</v>
      </c>
      <c r="J11" s="6">
        <f>G11*45*52</f>
        <v>0</v>
      </c>
      <c r="K11" s="5" t="s">
        <v>12</v>
      </c>
      <c r="L11" s="30"/>
      <c r="M11" s="2" t="s">
        <v>40</v>
      </c>
      <c r="N11" s="2" t="s">
        <v>13</v>
      </c>
      <c r="O11" s="6">
        <f>L11*45*52</f>
        <v>0</v>
      </c>
    </row>
    <row r="12" spans="1:15" ht="14.5" x14ac:dyDescent="0.35">
      <c r="A12" s="5" t="s">
        <v>14</v>
      </c>
      <c r="B12" s="30"/>
      <c r="C12" s="2" t="s">
        <v>43</v>
      </c>
      <c r="D12" s="2" t="s">
        <v>15</v>
      </c>
      <c r="E12" s="6">
        <f>B12*9*70</f>
        <v>0</v>
      </c>
      <c r="F12" s="5" t="s">
        <v>14</v>
      </c>
      <c r="G12" s="30"/>
      <c r="H12" s="2" t="s">
        <v>43</v>
      </c>
      <c r="I12" s="2" t="s">
        <v>15</v>
      </c>
      <c r="J12" s="6">
        <f>G12*9*70</f>
        <v>0</v>
      </c>
      <c r="K12" s="5" t="s">
        <v>14</v>
      </c>
      <c r="L12" s="30"/>
      <c r="M12" s="2" t="s">
        <v>43</v>
      </c>
      <c r="N12" s="2" t="s">
        <v>15</v>
      </c>
      <c r="O12" s="6">
        <f>L12*9*70</f>
        <v>0</v>
      </c>
    </row>
    <row r="13" spans="1:15" ht="14.5" x14ac:dyDescent="0.35">
      <c r="A13" s="11" t="s">
        <v>34</v>
      </c>
      <c r="B13" s="31"/>
      <c r="C13" s="12" t="s">
        <v>28</v>
      </c>
      <c r="D13" s="12" t="s">
        <v>29</v>
      </c>
      <c r="E13" s="13">
        <f>B13*365</f>
        <v>0</v>
      </c>
      <c r="F13" s="11" t="s">
        <v>34</v>
      </c>
      <c r="G13" s="31"/>
      <c r="H13" s="12" t="s">
        <v>28</v>
      </c>
      <c r="I13" s="12" t="s">
        <v>29</v>
      </c>
      <c r="J13" s="13">
        <f>G13*365</f>
        <v>0</v>
      </c>
      <c r="K13" s="11" t="s">
        <v>34</v>
      </c>
      <c r="L13" s="31"/>
      <c r="M13" s="12" t="s">
        <v>28</v>
      </c>
      <c r="N13" s="14" t="s">
        <v>29</v>
      </c>
      <c r="O13" s="13">
        <f>L13*365</f>
        <v>0</v>
      </c>
    </row>
    <row r="14" spans="1:15" ht="14.5" x14ac:dyDescent="0.35">
      <c r="A14" s="11" t="s">
        <v>27</v>
      </c>
      <c r="B14" s="31"/>
      <c r="C14" s="12" t="s">
        <v>30</v>
      </c>
      <c r="D14" s="12" t="s">
        <v>31</v>
      </c>
      <c r="E14" s="13">
        <f>B14*8</f>
        <v>0</v>
      </c>
      <c r="F14" s="11" t="s">
        <v>27</v>
      </c>
      <c r="G14" s="31"/>
      <c r="H14" s="12" t="s">
        <v>30</v>
      </c>
      <c r="I14" s="12" t="s">
        <v>36</v>
      </c>
      <c r="J14" s="13">
        <f>G14*8</f>
        <v>0</v>
      </c>
      <c r="K14" s="11" t="s">
        <v>27</v>
      </c>
      <c r="L14" s="31"/>
      <c r="M14" s="12" t="s">
        <v>37</v>
      </c>
      <c r="N14" s="12" t="s">
        <v>38</v>
      </c>
      <c r="O14" s="13">
        <f>L14*8</f>
        <v>0</v>
      </c>
    </row>
    <row r="15" spans="1:15" thickBot="1" x14ac:dyDescent="0.4">
      <c r="A15" s="7" t="s">
        <v>11</v>
      </c>
      <c r="B15" s="39">
        <f>E11+E12+E13+E14</f>
        <v>0</v>
      </c>
      <c r="C15" s="19"/>
      <c r="D15" s="19"/>
      <c r="E15" s="20"/>
      <c r="F15" s="7" t="s">
        <v>11</v>
      </c>
      <c r="G15" s="18">
        <f>J11+J12+J13+J14</f>
        <v>0</v>
      </c>
      <c r="H15" s="19"/>
      <c r="I15" s="19"/>
      <c r="J15" s="20"/>
      <c r="K15" s="7" t="s">
        <v>11</v>
      </c>
      <c r="L15" s="18">
        <f>O11+O12+O13+O14</f>
        <v>0</v>
      </c>
      <c r="M15" s="19"/>
      <c r="N15" s="19"/>
      <c r="O15" s="20"/>
    </row>
    <row r="16" spans="1:15" ht="15.5" x14ac:dyDescent="0.35">
      <c r="A16" s="37" t="s">
        <v>26</v>
      </c>
      <c r="B16" s="40"/>
      <c r="C16" s="24"/>
      <c r="D16" s="24"/>
      <c r="E16" s="25"/>
      <c r="F16" s="37" t="s">
        <v>26</v>
      </c>
      <c r="G16" s="24"/>
      <c r="H16" s="24"/>
      <c r="I16" s="24"/>
      <c r="J16" s="25"/>
      <c r="K16" s="37" t="s">
        <v>26</v>
      </c>
      <c r="L16" s="24"/>
      <c r="M16" s="24"/>
      <c r="N16" s="24"/>
      <c r="O16" s="25"/>
    </row>
    <row r="17" spans="1:15" ht="14.5" x14ac:dyDescent="0.35">
      <c r="A17" s="3" t="s">
        <v>7</v>
      </c>
      <c r="B17" s="38" t="s">
        <v>8</v>
      </c>
      <c r="C17" s="1" t="s">
        <v>9</v>
      </c>
      <c r="D17" s="1" t="s">
        <v>10</v>
      </c>
      <c r="E17" s="4" t="s">
        <v>11</v>
      </c>
      <c r="F17" s="3" t="s">
        <v>7</v>
      </c>
      <c r="G17" s="1" t="s">
        <v>8</v>
      </c>
      <c r="H17" s="1" t="s">
        <v>9</v>
      </c>
      <c r="I17" s="1" t="s">
        <v>10</v>
      </c>
      <c r="J17" s="4" t="s">
        <v>11</v>
      </c>
      <c r="K17" s="3" t="s">
        <v>7</v>
      </c>
      <c r="L17" s="1" t="s">
        <v>8</v>
      </c>
      <c r="M17" s="1" t="s">
        <v>9</v>
      </c>
      <c r="N17" s="1" t="s">
        <v>10</v>
      </c>
      <c r="O17" s="4" t="s">
        <v>11</v>
      </c>
    </row>
    <row r="18" spans="1:15" ht="14.5" x14ac:dyDescent="0.35">
      <c r="A18" s="5" t="s">
        <v>12</v>
      </c>
      <c r="B18" s="30"/>
      <c r="C18" s="2" t="s">
        <v>45</v>
      </c>
      <c r="D18" s="2" t="s">
        <v>13</v>
      </c>
      <c r="E18" s="6">
        <f>B18*80*52</f>
        <v>0</v>
      </c>
      <c r="F18" s="5" t="s">
        <v>12</v>
      </c>
      <c r="G18" s="30"/>
      <c r="H18" s="2" t="s">
        <v>45</v>
      </c>
      <c r="I18" s="2" t="s">
        <v>13</v>
      </c>
      <c r="J18" s="6">
        <f>G18*80*52</f>
        <v>0</v>
      </c>
      <c r="K18" s="5" t="s">
        <v>12</v>
      </c>
      <c r="L18" s="30"/>
      <c r="M18" s="2" t="s">
        <v>45</v>
      </c>
      <c r="N18" s="2" t="s">
        <v>13</v>
      </c>
      <c r="O18" s="6">
        <f>L18*80*52</f>
        <v>0</v>
      </c>
    </row>
    <row r="19" spans="1:15" ht="14.5" x14ac:dyDescent="0.35">
      <c r="A19" s="5" t="s">
        <v>14</v>
      </c>
      <c r="B19" s="30"/>
      <c r="C19" s="2" t="s">
        <v>44</v>
      </c>
      <c r="D19" s="2" t="s">
        <v>15</v>
      </c>
      <c r="E19" s="6">
        <f>B19*16*70</f>
        <v>0</v>
      </c>
      <c r="F19" s="5" t="s">
        <v>14</v>
      </c>
      <c r="G19" s="30"/>
      <c r="H19" s="2" t="s">
        <v>44</v>
      </c>
      <c r="I19" s="2" t="s">
        <v>15</v>
      </c>
      <c r="J19" s="6">
        <f>G19*16*70</f>
        <v>0</v>
      </c>
      <c r="K19" s="5" t="s">
        <v>14</v>
      </c>
      <c r="L19" s="30"/>
      <c r="M19" s="2" t="s">
        <v>44</v>
      </c>
      <c r="N19" s="2" t="s">
        <v>15</v>
      </c>
      <c r="O19" s="6">
        <f>L19*16*70</f>
        <v>0</v>
      </c>
    </row>
    <row r="20" spans="1:15" ht="14.5" x14ac:dyDescent="0.35">
      <c r="A20" s="11" t="s">
        <v>32</v>
      </c>
      <c r="B20" s="31"/>
      <c r="C20" s="12" t="s">
        <v>28</v>
      </c>
      <c r="D20" s="12" t="s">
        <v>29</v>
      </c>
      <c r="E20" s="13">
        <f>B20*365</f>
        <v>0</v>
      </c>
      <c r="F20" s="11" t="s">
        <v>32</v>
      </c>
      <c r="G20" s="31"/>
      <c r="H20" s="12" t="s">
        <v>28</v>
      </c>
      <c r="I20" s="12" t="s">
        <v>29</v>
      </c>
      <c r="J20" s="13">
        <f>G20*365</f>
        <v>0</v>
      </c>
      <c r="K20" s="11" t="s">
        <v>32</v>
      </c>
      <c r="L20" s="31"/>
      <c r="M20" s="12" t="s">
        <v>28</v>
      </c>
      <c r="N20" s="12" t="s">
        <v>29</v>
      </c>
      <c r="O20" s="13">
        <f>L20*365</f>
        <v>0</v>
      </c>
    </row>
    <row r="21" spans="1:15" ht="14.5" x14ac:dyDescent="0.35">
      <c r="A21" s="11" t="s">
        <v>33</v>
      </c>
      <c r="B21" s="31"/>
      <c r="C21" s="12" t="s">
        <v>30</v>
      </c>
      <c r="D21" s="12" t="s">
        <v>31</v>
      </c>
      <c r="E21" s="13">
        <f>B21*8</f>
        <v>0</v>
      </c>
      <c r="F21" s="11" t="s">
        <v>35</v>
      </c>
      <c r="G21" s="31"/>
      <c r="H21" s="12" t="s">
        <v>30</v>
      </c>
      <c r="I21" s="12" t="s">
        <v>36</v>
      </c>
      <c r="J21" s="13">
        <f>G21*8</f>
        <v>0</v>
      </c>
      <c r="K21" s="11" t="s">
        <v>35</v>
      </c>
      <c r="L21" s="31"/>
      <c r="M21" s="12" t="s">
        <v>37</v>
      </c>
      <c r="N21" s="12" t="s">
        <v>38</v>
      </c>
      <c r="O21" s="13">
        <f>L21*8</f>
        <v>0</v>
      </c>
    </row>
    <row r="22" spans="1:15" thickBot="1" x14ac:dyDescent="0.4">
      <c r="A22" s="7" t="s">
        <v>11</v>
      </c>
      <c r="B22" s="18">
        <f>E18+E19+E20+E21</f>
        <v>0</v>
      </c>
      <c r="C22" s="19"/>
      <c r="D22" s="19"/>
      <c r="E22" s="20"/>
      <c r="F22" s="7" t="s">
        <v>11</v>
      </c>
      <c r="G22" s="18">
        <f>J18+J19+J20+J21</f>
        <v>0</v>
      </c>
      <c r="H22" s="19"/>
      <c r="I22" s="19"/>
      <c r="J22" s="20"/>
      <c r="K22" s="7" t="s">
        <v>11</v>
      </c>
      <c r="L22" s="18">
        <f>O18+O19+O20+O21</f>
        <v>0</v>
      </c>
      <c r="M22" s="19"/>
      <c r="N22" s="19"/>
      <c r="O22" s="20"/>
    </row>
    <row r="23" spans="1:15" ht="15" customHeight="1" x14ac:dyDescent="0.45">
      <c r="A23" s="8" t="s">
        <v>16</v>
      </c>
      <c r="B23" s="21">
        <f>B8+B15+B22</f>
        <v>0</v>
      </c>
      <c r="C23" s="22"/>
      <c r="D23" s="22"/>
      <c r="E23" s="23"/>
      <c r="F23" s="8" t="s">
        <v>17</v>
      </c>
      <c r="G23" s="21">
        <f>G8+G15+G22</f>
        <v>0</v>
      </c>
      <c r="H23" s="22"/>
      <c r="I23" s="22"/>
      <c r="J23" s="23"/>
      <c r="K23" s="8" t="s">
        <v>18</v>
      </c>
      <c r="L23" s="21">
        <f>L8+L15+L22</f>
        <v>0</v>
      </c>
      <c r="M23" s="22"/>
      <c r="N23" s="22"/>
      <c r="O23" s="23"/>
    </row>
    <row r="24" spans="1:15" ht="15" customHeight="1" x14ac:dyDescent="0.45">
      <c r="A24" s="15"/>
      <c r="B24" s="32"/>
      <c r="C24" s="33"/>
      <c r="D24" s="33"/>
      <c r="E24" s="33"/>
      <c r="F24" s="15"/>
      <c r="G24" s="32"/>
      <c r="H24" s="33"/>
      <c r="I24" s="33"/>
      <c r="J24" s="33"/>
      <c r="K24" s="15"/>
      <c r="L24" s="32"/>
      <c r="M24" s="33"/>
      <c r="N24" s="33"/>
      <c r="O24" s="33"/>
    </row>
    <row r="26" spans="1:15" ht="15" customHeight="1" thickBot="1" x14ac:dyDescent="0.4">
      <c r="A26" s="34" t="s">
        <v>5</v>
      </c>
      <c r="B26" s="27"/>
      <c r="C26" s="27"/>
      <c r="D26" s="27"/>
      <c r="E26" s="28"/>
      <c r="F26" s="34" t="s">
        <v>6</v>
      </c>
      <c r="G26" s="27"/>
      <c r="H26" s="27"/>
      <c r="I26" s="27"/>
      <c r="J26" s="28"/>
    </row>
    <row r="27" spans="1:15" ht="15" customHeight="1" x14ac:dyDescent="0.35">
      <c r="A27" s="35" t="s">
        <v>24</v>
      </c>
      <c r="B27" s="24"/>
      <c r="C27" s="24"/>
      <c r="D27" s="24"/>
      <c r="E27" s="25"/>
      <c r="F27" s="35" t="s">
        <v>24</v>
      </c>
      <c r="G27" s="24"/>
      <c r="H27" s="24"/>
      <c r="I27" s="24"/>
      <c r="J27" s="25"/>
    </row>
    <row r="28" spans="1:15" ht="15" customHeight="1" x14ac:dyDescent="0.35">
      <c r="A28" s="3" t="s">
        <v>7</v>
      </c>
      <c r="B28" s="1" t="s">
        <v>8</v>
      </c>
      <c r="C28" s="1" t="s">
        <v>9</v>
      </c>
      <c r="D28" s="1" t="s">
        <v>10</v>
      </c>
      <c r="E28" s="4" t="s">
        <v>11</v>
      </c>
      <c r="F28" s="3" t="s">
        <v>7</v>
      </c>
      <c r="G28" s="1" t="s">
        <v>8</v>
      </c>
      <c r="H28" s="1" t="s">
        <v>9</v>
      </c>
      <c r="I28" s="1" t="s">
        <v>10</v>
      </c>
      <c r="J28" s="4" t="s">
        <v>11</v>
      </c>
    </row>
    <row r="29" spans="1:15" ht="15" customHeight="1" x14ac:dyDescent="0.35">
      <c r="A29" s="5" t="s">
        <v>12</v>
      </c>
      <c r="B29" s="30"/>
      <c r="C29" s="2" t="s">
        <v>41</v>
      </c>
      <c r="D29" s="2" t="s">
        <v>13</v>
      </c>
      <c r="E29" s="6">
        <f>B29*85*52</f>
        <v>0</v>
      </c>
      <c r="F29" s="5" t="s">
        <v>12</v>
      </c>
      <c r="G29" s="30"/>
      <c r="H29" s="2" t="s">
        <v>41</v>
      </c>
      <c r="I29" s="2" t="s">
        <v>13</v>
      </c>
      <c r="J29" s="6">
        <f>G29*85*52</f>
        <v>0</v>
      </c>
    </row>
    <row r="30" spans="1:15" ht="15" customHeight="1" x14ac:dyDescent="0.35">
      <c r="A30" s="5" t="s">
        <v>14</v>
      </c>
      <c r="B30" s="30"/>
      <c r="C30" s="2" t="s">
        <v>42</v>
      </c>
      <c r="D30" s="2" t="s">
        <v>15</v>
      </c>
      <c r="E30" s="6">
        <f>B30*17*70</f>
        <v>0</v>
      </c>
      <c r="F30" s="5" t="s">
        <v>14</v>
      </c>
      <c r="G30" s="30"/>
      <c r="H30" s="2" t="s">
        <v>42</v>
      </c>
      <c r="I30" s="2" t="s">
        <v>15</v>
      </c>
      <c r="J30" s="6">
        <f>G30*17*70</f>
        <v>0</v>
      </c>
    </row>
    <row r="31" spans="1:15" ht="15" customHeight="1" thickBot="1" x14ac:dyDescent="0.4">
      <c r="A31" s="7" t="s">
        <v>11</v>
      </c>
      <c r="B31" s="18">
        <f>E29+E30</f>
        <v>0</v>
      </c>
      <c r="C31" s="19"/>
      <c r="D31" s="19"/>
      <c r="E31" s="20"/>
      <c r="F31" s="7" t="s">
        <v>11</v>
      </c>
      <c r="G31" s="18">
        <f>J29+J30</f>
        <v>0</v>
      </c>
      <c r="H31" s="19"/>
      <c r="I31" s="19"/>
      <c r="J31" s="20"/>
    </row>
    <row r="32" spans="1:15" ht="15" customHeight="1" x14ac:dyDescent="0.35">
      <c r="A32" s="36" t="s">
        <v>25</v>
      </c>
      <c r="B32" s="24"/>
      <c r="C32" s="24"/>
      <c r="D32" s="24"/>
      <c r="E32" s="25"/>
      <c r="F32" s="36" t="s">
        <v>25</v>
      </c>
      <c r="G32" s="24"/>
      <c r="H32" s="24"/>
      <c r="I32" s="24"/>
      <c r="J32" s="25"/>
    </row>
    <row r="33" spans="1:10" ht="15" customHeight="1" x14ac:dyDescent="0.35">
      <c r="A33" s="3" t="s">
        <v>7</v>
      </c>
      <c r="B33" s="1" t="s">
        <v>8</v>
      </c>
      <c r="C33" s="1" t="s">
        <v>9</v>
      </c>
      <c r="D33" s="1" t="s">
        <v>10</v>
      </c>
      <c r="E33" s="4" t="s">
        <v>11</v>
      </c>
      <c r="F33" s="3" t="s">
        <v>7</v>
      </c>
      <c r="G33" s="1" t="s">
        <v>8</v>
      </c>
      <c r="H33" s="1" t="s">
        <v>9</v>
      </c>
      <c r="I33" s="1" t="s">
        <v>10</v>
      </c>
      <c r="J33" s="4" t="s">
        <v>11</v>
      </c>
    </row>
    <row r="34" spans="1:10" ht="15" customHeight="1" x14ac:dyDescent="0.35">
      <c r="A34" s="5" t="s">
        <v>12</v>
      </c>
      <c r="B34" s="30"/>
      <c r="C34" s="2" t="s">
        <v>40</v>
      </c>
      <c r="D34" s="2" t="s">
        <v>13</v>
      </c>
      <c r="E34" s="6">
        <f>B34*45*52</f>
        <v>0</v>
      </c>
      <c r="F34" s="5" t="s">
        <v>12</v>
      </c>
      <c r="G34" s="30"/>
      <c r="H34" s="2" t="s">
        <v>40</v>
      </c>
      <c r="I34" s="2" t="s">
        <v>13</v>
      </c>
      <c r="J34" s="6">
        <f>G34*45*52</f>
        <v>0</v>
      </c>
    </row>
    <row r="35" spans="1:10" ht="15" customHeight="1" x14ac:dyDescent="0.35">
      <c r="A35" s="5" t="s">
        <v>14</v>
      </c>
      <c r="B35" s="30"/>
      <c r="C35" s="2" t="s">
        <v>43</v>
      </c>
      <c r="D35" s="2" t="s">
        <v>15</v>
      </c>
      <c r="E35" s="6">
        <f>B35*9*70</f>
        <v>0</v>
      </c>
      <c r="F35" s="5" t="s">
        <v>14</v>
      </c>
      <c r="G35" s="30"/>
      <c r="H35" s="2" t="s">
        <v>43</v>
      </c>
      <c r="I35" s="2" t="s">
        <v>15</v>
      </c>
      <c r="J35" s="6">
        <f>G35*9*70</f>
        <v>0</v>
      </c>
    </row>
    <row r="36" spans="1:10" ht="15" customHeight="1" x14ac:dyDescent="0.35">
      <c r="A36" s="11" t="s">
        <v>34</v>
      </c>
      <c r="B36" s="31"/>
      <c r="C36" s="12" t="s">
        <v>28</v>
      </c>
      <c r="D36" s="12" t="s">
        <v>29</v>
      </c>
      <c r="E36" s="13">
        <f>B36*365</f>
        <v>0</v>
      </c>
      <c r="F36" s="11" t="s">
        <v>34</v>
      </c>
      <c r="G36" s="31"/>
      <c r="H36" s="12" t="s">
        <v>28</v>
      </c>
      <c r="I36" s="12" t="s">
        <v>29</v>
      </c>
      <c r="J36" s="13">
        <f>G36*365</f>
        <v>0</v>
      </c>
    </row>
    <row r="37" spans="1:10" ht="15" customHeight="1" x14ac:dyDescent="0.35">
      <c r="A37" s="11" t="s">
        <v>27</v>
      </c>
      <c r="B37" s="31"/>
      <c r="C37" s="12" t="s">
        <v>39</v>
      </c>
      <c r="D37" s="12" t="s">
        <v>38</v>
      </c>
      <c r="E37" s="13">
        <f>B37*8</f>
        <v>0</v>
      </c>
      <c r="F37" s="11" t="s">
        <v>27</v>
      </c>
      <c r="G37" s="31"/>
      <c r="H37" s="12" t="s">
        <v>39</v>
      </c>
      <c r="I37" s="12" t="s">
        <v>38</v>
      </c>
      <c r="J37" s="13">
        <f>G37*8</f>
        <v>0</v>
      </c>
    </row>
    <row r="38" spans="1:10" ht="15" customHeight="1" thickBot="1" x14ac:dyDescent="0.4">
      <c r="A38" s="7" t="s">
        <v>11</v>
      </c>
      <c r="B38" s="18">
        <f>E34+E35+E36+E37</f>
        <v>0</v>
      </c>
      <c r="C38" s="19"/>
      <c r="D38" s="19"/>
      <c r="E38" s="20"/>
      <c r="F38" s="7" t="s">
        <v>11</v>
      </c>
      <c r="G38" s="18">
        <f>J34+J35+J36+J37</f>
        <v>0</v>
      </c>
      <c r="H38" s="19"/>
      <c r="I38" s="19"/>
      <c r="J38" s="20"/>
    </row>
    <row r="39" spans="1:10" ht="15" customHeight="1" x14ac:dyDescent="0.35">
      <c r="A39" s="37" t="s">
        <v>26</v>
      </c>
      <c r="B39" s="24"/>
      <c r="C39" s="24"/>
      <c r="D39" s="24"/>
      <c r="E39" s="25"/>
      <c r="F39" s="37" t="s">
        <v>26</v>
      </c>
      <c r="G39" s="24"/>
      <c r="H39" s="24"/>
      <c r="I39" s="24"/>
      <c r="J39" s="25"/>
    </row>
    <row r="40" spans="1:10" ht="15" customHeight="1" x14ac:dyDescent="0.35">
      <c r="A40" s="3" t="s">
        <v>7</v>
      </c>
      <c r="B40" s="1" t="s">
        <v>8</v>
      </c>
      <c r="C40" s="1" t="s">
        <v>9</v>
      </c>
      <c r="D40" s="1" t="s">
        <v>10</v>
      </c>
      <c r="E40" s="4" t="s">
        <v>11</v>
      </c>
      <c r="F40" s="3" t="s">
        <v>7</v>
      </c>
      <c r="G40" s="1" t="s">
        <v>8</v>
      </c>
      <c r="H40" s="1" t="s">
        <v>9</v>
      </c>
      <c r="I40" s="1" t="s">
        <v>10</v>
      </c>
      <c r="J40" s="4" t="s">
        <v>11</v>
      </c>
    </row>
    <row r="41" spans="1:10" ht="15" customHeight="1" x14ac:dyDescent="0.35">
      <c r="A41" s="5" t="s">
        <v>12</v>
      </c>
      <c r="B41" s="30"/>
      <c r="C41" s="2" t="s">
        <v>45</v>
      </c>
      <c r="D41" s="2" t="s">
        <v>13</v>
      </c>
      <c r="E41" s="6">
        <f>B41*80*52</f>
        <v>0</v>
      </c>
      <c r="F41" s="5" t="s">
        <v>12</v>
      </c>
      <c r="G41" s="30"/>
      <c r="H41" s="2" t="s">
        <v>45</v>
      </c>
      <c r="I41" s="2" t="s">
        <v>13</v>
      </c>
      <c r="J41" s="6">
        <f>G41*80*52</f>
        <v>0</v>
      </c>
    </row>
    <row r="42" spans="1:10" ht="15" customHeight="1" x14ac:dyDescent="0.35">
      <c r="A42" s="5" t="s">
        <v>14</v>
      </c>
      <c r="B42" s="30"/>
      <c r="C42" s="2" t="s">
        <v>44</v>
      </c>
      <c r="D42" s="2" t="s">
        <v>15</v>
      </c>
      <c r="E42" s="6">
        <f>B42*16*70</f>
        <v>0</v>
      </c>
      <c r="F42" s="5" t="s">
        <v>14</v>
      </c>
      <c r="G42" s="30"/>
      <c r="H42" s="2" t="s">
        <v>44</v>
      </c>
      <c r="I42" s="2" t="s">
        <v>15</v>
      </c>
      <c r="J42" s="6">
        <f>G42*16*70</f>
        <v>0</v>
      </c>
    </row>
    <row r="43" spans="1:10" ht="15" customHeight="1" x14ac:dyDescent="0.35">
      <c r="A43" s="11" t="s">
        <v>32</v>
      </c>
      <c r="B43" s="31"/>
      <c r="C43" s="12" t="s">
        <v>28</v>
      </c>
      <c r="D43" s="12" t="s">
        <v>29</v>
      </c>
      <c r="E43" s="13">
        <f>B43*365</f>
        <v>0</v>
      </c>
      <c r="F43" s="11" t="s">
        <v>32</v>
      </c>
      <c r="G43" s="31"/>
      <c r="H43" s="12" t="s">
        <v>28</v>
      </c>
      <c r="I43" s="12" t="s">
        <v>29</v>
      </c>
      <c r="J43" s="13">
        <f>G43*365</f>
        <v>0</v>
      </c>
    </row>
    <row r="44" spans="1:10" ht="15" customHeight="1" x14ac:dyDescent="0.35">
      <c r="A44" s="11" t="s">
        <v>35</v>
      </c>
      <c r="B44" s="31"/>
      <c r="C44" s="12" t="s">
        <v>39</v>
      </c>
      <c r="D44" s="12" t="s">
        <v>38</v>
      </c>
      <c r="E44" s="13">
        <f>B44*8</f>
        <v>0</v>
      </c>
      <c r="F44" s="11" t="s">
        <v>35</v>
      </c>
      <c r="G44" s="31"/>
      <c r="H44" s="12" t="s">
        <v>39</v>
      </c>
      <c r="I44" s="12" t="s">
        <v>38</v>
      </c>
      <c r="J44" s="13">
        <f>G44*8</f>
        <v>0</v>
      </c>
    </row>
    <row r="45" spans="1:10" ht="15" customHeight="1" thickBot="1" x14ac:dyDescent="0.4">
      <c r="A45" s="7" t="s">
        <v>11</v>
      </c>
      <c r="B45" s="18">
        <f>E41+E42+E43+E44</f>
        <v>0</v>
      </c>
      <c r="C45" s="19"/>
      <c r="D45" s="19"/>
      <c r="E45" s="20"/>
      <c r="F45" s="7" t="s">
        <v>11</v>
      </c>
      <c r="G45" s="18">
        <f>J41+J42+J43+J44</f>
        <v>0</v>
      </c>
      <c r="H45" s="19"/>
      <c r="I45" s="19"/>
      <c r="J45" s="20"/>
    </row>
    <row r="46" spans="1:10" ht="15" customHeight="1" x14ac:dyDescent="0.45">
      <c r="A46" s="8" t="s">
        <v>19</v>
      </c>
      <c r="B46" s="21">
        <f>B31+B38+B45</f>
        <v>0</v>
      </c>
      <c r="C46" s="22"/>
      <c r="D46" s="22"/>
      <c r="E46" s="23"/>
      <c r="F46" s="8" t="s">
        <v>20</v>
      </c>
      <c r="G46" s="21">
        <f>G31+G38+G45</f>
        <v>0</v>
      </c>
      <c r="H46" s="22"/>
      <c r="I46" s="22"/>
      <c r="J46" s="23"/>
    </row>
    <row r="47" spans="1:10" ht="15" customHeight="1" x14ac:dyDescent="0.45">
      <c r="A47" s="15"/>
      <c r="B47" s="16"/>
      <c r="C47" s="17"/>
      <c r="D47" s="17"/>
      <c r="E47" s="17"/>
      <c r="F47" s="15"/>
      <c r="G47" s="16"/>
      <c r="H47" s="17"/>
      <c r="I47" s="17"/>
      <c r="J47" s="17"/>
    </row>
    <row r="48" spans="1:10" ht="15" customHeight="1" x14ac:dyDescent="0.35">
      <c r="A48" s="9" t="s">
        <v>21</v>
      </c>
      <c r="B48" s="10">
        <f>B23+G23+L23</f>
        <v>0</v>
      </c>
    </row>
    <row r="49" spans="1:2" ht="15" customHeight="1" x14ac:dyDescent="0.35">
      <c r="A49" s="9" t="s">
        <v>22</v>
      </c>
      <c r="B49" s="10">
        <f>B46+G46</f>
        <v>0</v>
      </c>
    </row>
    <row r="50" spans="1:2" ht="15" customHeight="1" x14ac:dyDescent="0.35">
      <c r="A50" s="9" t="s">
        <v>23</v>
      </c>
      <c r="B50" s="10">
        <f>B48+B49</f>
        <v>0</v>
      </c>
    </row>
  </sheetData>
  <sheetProtection algorithmName="SHA-512" hashValue="hbxVcn9VeeMZjFB5W7TS1V/M+yzu3tH+CmRxNdFq00wI10lJzeLSChkYdDJ+cM9UmCnatXJBHZm2F8U+S+5Qvg==" saltValue="RlDQE5bc/vGX8ww/ZQP3FQ==" spinCount="100000" sheet="1" objects="1" scenarios="1" select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059295-8e52-4a1b-8cda-1a1cae12193a">
      <Terms xmlns="http://schemas.microsoft.com/office/infopath/2007/PartnerControls"/>
    </lcf76f155ced4ddcb4097134ff3c332f>
    <TaxCatchAll xmlns="5d9af725-578f-427a-a133-cd173a0823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067033363DAE4BA1DA07C538D428E1" ma:contentTypeVersion="12" ma:contentTypeDescription="Create a new document." ma:contentTypeScope="" ma:versionID="f4b71d15ea38d2db8ba39a524a2e8693">
  <xsd:schema xmlns:xsd="http://www.w3.org/2001/XMLSchema" xmlns:xs="http://www.w3.org/2001/XMLSchema" xmlns:p="http://schemas.microsoft.com/office/2006/metadata/properties" xmlns:ns2="a6059295-8e52-4a1b-8cda-1a1cae12193a" xmlns:ns3="5d9af725-578f-427a-a133-cd173a082325" targetNamespace="http://schemas.microsoft.com/office/2006/metadata/properties" ma:root="true" ma:fieldsID="50bf31b2eb7491fd073e4f21e30ff4de" ns2:_="" ns3:_="">
    <xsd:import namespace="a6059295-8e52-4a1b-8cda-1a1cae12193a"/>
    <xsd:import namespace="5d9af725-578f-427a-a133-cd173a082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59295-8e52-4a1b-8cda-1a1cae121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5f1fc6e-0333-47de-9211-1e950c2fc5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f725-578f-427a-a133-cd173a0823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5a4116-30fb-4d2a-8e62-fa50f47e397b}" ma:internalName="TaxCatchAll" ma:showField="CatchAllData" ma:web="5d9af725-578f-427a-a133-cd173a082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3BDF2B-0015-42EB-9F49-21C736FFC6D0}">
  <ds:schemaRefs>
    <ds:schemaRef ds:uri="http://schemas.microsoft.com/office/2006/metadata/properties"/>
    <ds:schemaRef ds:uri="http://schemas.microsoft.com/office/infopath/2007/PartnerControls"/>
    <ds:schemaRef ds:uri="a6059295-8e52-4a1b-8cda-1a1cae12193a"/>
    <ds:schemaRef ds:uri="5d9af725-578f-427a-a133-cd173a082325"/>
  </ds:schemaRefs>
</ds:datastoreItem>
</file>

<file path=customXml/itemProps2.xml><?xml version="1.0" encoding="utf-8"?>
<ds:datastoreItem xmlns:ds="http://schemas.openxmlformats.org/officeDocument/2006/customXml" ds:itemID="{7639C70D-5849-44C6-AE44-7B68612DBE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9E2014-1E2F-48BB-84C6-EC89A774E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059295-8e52-4a1b-8cda-1a1cae12193a"/>
    <ds:schemaRef ds:uri="5d9af725-578f-427a-a133-cd173a0823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RTD Denver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Moran, Sean</dc:creator>
  <cp:keywords/>
  <dc:description/>
  <cp:lastModifiedBy>Marla Bainbridge</cp:lastModifiedBy>
  <cp:revision/>
  <dcterms:created xsi:type="dcterms:W3CDTF">2018-10-05T13:51:43Z</dcterms:created>
  <dcterms:modified xsi:type="dcterms:W3CDTF">2026-09-22T19:52:56Z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0x010100C7067033363DAE4BA1DA07C538D428E1</vt:lpwstr>
  </property>
  <property fmtid="{D5CDD505-2E9C-101B-9397-08002B2CF9AE}" pid="3" name="MediaServiceImageTags">
    <vt:lpwstr/>
  </property>
</Properties>
</file>