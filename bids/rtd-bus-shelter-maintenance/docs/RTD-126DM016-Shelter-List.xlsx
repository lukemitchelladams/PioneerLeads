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at to price" sheetId="1" state="visible" r:id="rId1"/>
    <sheet xmlns:r="http://schemas.openxmlformats.org/officeDocument/2006/relationships" name="Shelter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6B42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62" customWidth="1" min="1" max="1"/>
    <col width="34" customWidth="1" min="2" max="2"/>
    <col width="18" customWidth="1" min="3" max="3"/>
    <col width="20" customWidth="1" min="4" max="4"/>
    <col width="18" customWidth="1" min="5" max="5"/>
  </cols>
  <sheetData>
    <row r="1">
      <c r="A1" s="1" t="inlineStr">
        <is>
          <t>Sub pricing for Brown Bison: RTD Bus Shelter Maintenance (RFP 126DM016)</t>
        </is>
      </c>
    </row>
    <row r="2">
      <c r="A2" t="inlineStr">
        <is>
          <t>Snow removal is NOT in your scope (handled separately). Please price the lines below. RTD's pricing form is per service visit.</t>
        </is>
      </c>
    </row>
    <row r="4">
      <c r="A4" s="2" t="inlineStr">
        <is>
          <t>Line</t>
        </is>
      </c>
      <c r="B4" s="2" t="inlineStr">
        <is>
          <t>What RTD counts</t>
        </is>
      </c>
      <c r="C4" s="2" t="inlineStr">
        <is>
          <t>Quantity per year</t>
        </is>
      </c>
      <c r="D4" s="2" t="inlineStr">
        <is>
          <t>Your price per unit</t>
        </is>
      </c>
      <c r="E4" s="2" t="inlineStr">
        <is>
          <t>Your annual total</t>
        </is>
      </c>
    </row>
    <row r="5">
      <c r="A5" t="inlineStr">
        <is>
          <t>Group 3 shelters: custodial + graffiti</t>
        </is>
      </c>
      <c r="B5" t="inlineStr">
        <is>
          <t>price per shelter service</t>
        </is>
      </c>
      <c r="C5" t="n">
        <v>4420</v>
      </c>
      <c r="E5">
        <f>C5*D5</f>
        <v/>
      </c>
    </row>
    <row r="6">
      <c r="A6" t="inlineStr">
        <is>
          <t>North Federal shelters: custodial + graffiti</t>
        </is>
      </c>
      <c r="B6" t="inlineStr">
        <is>
          <t>price per shelter service</t>
        </is>
      </c>
      <c r="C6" t="n">
        <v>2340</v>
      </c>
      <c r="E6">
        <f>C6*D6</f>
        <v/>
      </c>
    </row>
    <row r="7">
      <c r="A7" t="inlineStr">
        <is>
          <t>South Federal shelters: custodial + graffiti</t>
        </is>
      </c>
      <c r="B7" t="inlineStr">
        <is>
          <t>price per shelter service</t>
        </is>
      </c>
      <c r="C7" t="n">
        <v>4160</v>
      </c>
      <c r="E7">
        <f>C7*D7</f>
        <v/>
      </c>
    </row>
    <row r="8">
      <c r="A8" t="inlineStr">
        <is>
          <t>Federal &amp; Colfax Transfer Center custodial (includes driver restroom kiosk)</t>
        </is>
      </c>
      <c r="B8" t="inlineStr">
        <is>
          <t>price per day, serviced daily</t>
        </is>
      </c>
      <c r="C8" t="n">
        <v>365</v>
      </c>
      <c r="E8">
        <f>C8*D8</f>
        <v/>
      </c>
    </row>
    <row r="9">
      <c r="A9" t="inlineStr">
        <is>
          <t>Federal &amp; Evans Transfer Center custodial (includes driver restroom kiosk)</t>
        </is>
      </c>
      <c r="B9" t="inlineStr">
        <is>
          <t>price per day, serviced daily</t>
        </is>
      </c>
      <c r="C9" t="n">
        <v>365</v>
      </c>
      <c r="E9">
        <f>C9*D9</f>
        <v/>
      </c>
    </row>
    <row r="10">
      <c r="A10" s="3" t="inlineStr">
        <is>
          <t>TOTAL per year</t>
        </is>
      </c>
      <c r="B10" t="inlineStr"/>
      <c r="C10" t="inlineStr"/>
      <c r="D10" t="inlineStr"/>
      <c r="E10">
        <f>SUM(E5:E9)</f>
        <v/>
      </c>
    </row>
    <row r="12">
      <c r="A12" t="inlineStr">
        <is>
          <t>Also tell us: any price increase for contract years 2 and 3, and option years 4 and 5.</t>
        </is>
      </c>
    </row>
    <row r="14">
      <c r="A14" t="inlineStr">
        <is>
          <t>What a shelter service includes (RTD Statement of Work): trash and litter pickup, empty cans, clean glass/panels/benches,</t>
        </is>
      </c>
    </row>
    <row r="15">
      <c r="A15" t="inlineStr">
        <is>
          <t>graffiti removed within 72 hours, pressure washing weekly at shelters serviced 5+ times a week (hot-water unit, min 3,000 PSI,</t>
        </is>
      </c>
    </row>
    <row r="16">
      <c r="A16" t="inlineStr">
        <is>
          <t>water recovery: keep wastewater out of storm drains), corrective work within 1 hour of RTD notice.</t>
        </is>
      </c>
    </row>
    <row r="17">
      <c r="A17" t="inlineStr">
        <is>
          <t>Transfer center driver kiosks: clean, disinfect, mop daily and restock toilet paper, soap, paper towels, seat covers, liners.</t>
        </is>
      </c>
    </row>
    <row r="18">
      <c r="A18" t="inlineStr">
        <is>
          <t>Contractor supplies the dispensers and replaces vandalized ones within 1 hour.</t>
        </is>
      </c>
    </row>
    <row r="19">
      <c r="A19" t="inlineStr">
        <is>
          <t>Service hours 5 AM-7 PM weekdays, 7 AM-7 PM weekends. GPS tracking on all service vehicles with live RTD access.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18" customWidth="1" min="3" max="3"/>
    <col width="24" customWidth="1" min="4" max="4"/>
    <col width="9" customWidth="1" min="5" max="5"/>
    <col width="11" customWidth="1" min="6" max="6"/>
    <col width="12" customWidth="1" min="7" max="7"/>
    <col width="20" customWidth="1" min="8" max="8"/>
  </cols>
  <sheetData>
    <row r="1">
      <c r="A1" s="1" t="inlineStr">
        <is>
          <t>RTD RFP 126DM016 Bus Shelter Maintenance: shelter inventory (from RTD Statement of Work, shelter tables)</t>
        </is>
      </c>
    </row>
    <row r="2">
      <c r="A2" t="inlineStr">
        <is>
          <t>Frq. = services required per week. Service hours 5 AM-7 PM weekdays, 7 AM-7 PM weekends.</t>
        </is>
      </c>
    </row>
    <row r="4">
      <c r="A4" s="2" t="inlineStr">
        <is>
          <t>Group</t>
        </is>
      </c>
      <c r="B4" s="2" t="inlineStr">
        <is>
          <t>Stop #</t>
        </is>
      </c>
      <c r="C4" s="2" t="inlineStr">
        <is>
          <t>On street</t>
        </is>
      </c>
      <c r="D4" s="2" t="inlineStr">
        <is>
          <t>At street</t>
        </is>
      </c>
      <c r="E4" s="2" t="inlineStr">
        <is>
          <t>Dir/side</t>
        </is>
      </c>
      <c r="F4" s="2" t="inlineStr">
        <is>
          <t># shelters</t>
        </is>
      </c>
      <c r="G4" s="2" t="inlineStr">
        <is>
          <t>Freq./week</t>
        </is>
      </c>
      <c r="H4" s="2" t="inlineStr">
        <is>
          <t>Shelter services/week</t>
        </is>
      </c>
    </row>
    <row r="5">
      <c r="A5" t="inlineStr">
        <is>
          <t>Group 3 (Aurora/SE Denver)</t>
        </is>
      </c>
      <c r="B5" t="n">
        <v>15926</v>
      </c>
      <c r="C5" t="inlineStr">
        <is>
          <t>Peoria St</t>
        </is>
      </c>
      <c r="D5" t="inlineStr">
        <is>
          <t>Del Mar Circle N</t>
        </is>
      </c>
      <c r="E5" t="inlineStr">
        <is>
          <t>NB</t>
        </is>
      </c>
      <c r="F5" t="n">
        <v>1</v>
      </c>
      <c r="G5" t="n">
        <v>5</v>
      </c>
      <c r="H5" t="n">
        <v>5</v>
      </c>
    </row>
    <row r="6">
      <c r="A6" t="inlineStr">
        <is>
          <t>Group 3 (Aurora/SE Denver)</t>
        </is>
      </c>
      <c r="B6" t="n">
        <v>12710</v>
      </c>
      <c r="C6" t="inlineStr">
        <is>
          <t>S Chambers Rd</t>
        </is>
      </c>
      <c r="D6" t="inlineStr">
        <is>
          <t>E Iliff Ave</t>
        </is>
      </c>
      <c r="E6" t="inlineStr">
        <is>
          <t>NB</t>
        </is>
      </c>
      <c r="F6" t="n">
        <v>1</v>
      </c>
      <c r="G6" t="n">
        <v>5</v>
      </c>
      <c r="H6" t="n">
        <v>5</v>
      </c>
    </row>
    <row r="7">
      <c r="A7" t="inlineStr">
        <is>
          <t>Group 3 (Aurora/SE Denver)</t>
        </is>
      </c>
      <c r="B7" t="n">
        <v>18395</v>
      </c>
      <c r="C7" t="inlineStr">
        <is>
          <t>E Hampden Ave</t>
        </is>
      </c>
      <c r="D7" t="inlineStr">
        <is>
          <t>S Eagle St</t>
        </is>
      </c>
      <c r="E7" t="inlineStr">
        <is>
          <t>WB</t>
        </is>
      </c>
      <c r="F7" t="n">
        <v>1</v>
      </c>
      <c r="G7" t="n">
        <v>5</v>
      </c>
      <c r="H7" t="n">
        <v>5</v>
      </c>
    </row>
    <row r="8">
      <c r="A8" t="inlineStr">
        <is>
          <t>Group 3 (Aurora/SE Denver)</t>
        </is>
      </c>
      <c r="B8" t="n">
        <v>12045</v>
      </c>
      <c r="C8" t="inlineStr">
        <is>
          <t>E Alameda Ave</t>
        </is>
      </c>
      <c r="D8" t="inlineStr">
        <is>
          <t>S Moline St</t>
        </is>
      </c>
      <c r="E8" t="inlineStr">
        <is>
          <t>WB</t>
        </is>
      </c>
      <c r="F8" t="n">
        <v>1</v>
      </c>
      <c r="G8" t="n">
        <v>5</v>
      </c>
      <c r="H8" t="n">
        <v>5</v>
      </c>
    </row>
    <row r="9">
      <c r="A9" t="inlineStr">
        <is>
          <t>Group 3 (Aurora/SE Denver)</t>
        </is>
      </c>
      <c r="B9" t="n">
        <v>14252</v>
      </c>
      <c r="C9" t="inlineStr">
        <is>
          <t>S Havana St</t>
        </is>
      </c>
      <c r="D9" t="inlineStr">
        <is>
          <t>E Alameda Ave</t>
        </is>
      </c>
      <c r="E9" t="inlineStr">
        <is>
          <t>NB</t>
        </is>
      </c>
      <c r="F9" t="n">
        <v>1</v>
      </c>
      <c r="G9" t="n">
        <v>5</v>
      </c>
      <c r="H9" t="n">
        <v>5</v>
      </c>
    </row>
    <row r="10">
      <c r="A10" t="inlineStr">
        <is>
          <t>Group 3 (Aurora/SE Denver)</t>
        </is>
      </c>
      <c r="B10" t="n">
        <v>15945</v>
      </c>
      <c r="C10" t="inlineStr">
        <is>
          <t>S Peoria St</t>
        </is>
      </c>
      <c r="D10" t="inlineStr">
        <is>
          <t>E Mississippi Ave</t>
        </is>
      </c>
      <c r="E10" t="inlineStr">
        <is>
          <t>NB</t>
        </is>
      </c>
      <c r="F10" t="n">
        <v>1</v>
      </c>
      <c r="G10" t="n">
        <v>5</v>
      </c>
      <c r="H10" t="n">
        <v>5</v>
      </c>
    </row>
    <row r="11">
      <c r="A11" t="inlineStr">
        <is>
          <t>Group 3 (Aurora/SE Denver)</t>
        </is>
      </c>
      <c r="B11" t="n">
        <v>14277</v>
      </c>
      <c r="C11" t="inlineStr">
        <is>
          <t>S Havana St</t>
        </is>
      </c>
      <c r="D11" t="inlineStr">
        <is>
          <t>E Mexico Ave</t>
        </is>
      </c>
      <c r="E11" t="inlineStr">
        <is>
          <t>SBFS</t>
        </is>
      </c>
      <c r="F11" t="n">
        <v>1</v>
      </c>
      <c r="G11" t="n">
        <v>5</v>
      </c>
      <c r="H11" t="n">
        <v>5</v>
      </c>
    </row>
    <row r="12">
      <c r="A12" t="inlineStr">
        <is>
          <t>Group 3 (Aurora/SE Denver)</t>
        </is>
      </c>
      <c r="B12" t="n">
        <v>14285</v>
      </c>
      <c r="C12" t="inlineStr">
        <is>
          <t>S Havana St</t>
        </is>
      </c>
      <c r="D12" t="inlineStr">
        <is>
          <t>E Yale Ave</t>
        </is>
      </c>
      <c r="E12" t="inlineStr">
        <is>
          <t>NBFS</t>
        </is>
      </c>
      <c r="F12" t="n">
        <v>1</v>
      </c>
      <c r="G12" t="n">
        <v>5</v>
      </c>
      <c r="H12" t="n">
        <v>5</v>
      </c>
    </row>
    <row r="13">
      <c r="A13" t="inlineStr">
        <is>
          <t>Group 3 (Aurora/SE Denver)</t>
        </is>
      </c>
      <c r="B13" t="n">
        <v>20095</v>
      </c>
      <c r="C13" t="inlineStr">
        <is>
          <t>Leetsdale Dr</t>
        </is>
      </c>
      <c r="D13" t="inlineStr">
        <is>
          <t>E Exposition</t>
        </is>
      </c>
      <c r="E13" t="inlineStr">
        <is>
          <t>NWBFS</t>
        </is>
      </c>
      <c r="F13" t="n">
        <v>1</v>
      </c>
      <c r="G13" t="n">
        <v>5</v>
      </c>
      <c r="H13" t="n">
        <v>5</v>
      </c>
    </row>
    <row r="14">
      <c r="A14" t="inlineStr">
        <is>
          <t>Group 3 (Aurora/SE Denver)</t>
        </is>
      </c>
      <c r="B14" t="n">
        <v>21711</v>
      </c>
      <c r="C14" t="inlineStr">
        <is>
          <t>S Yosemite St</t>
        </is>
      </c>
      <c r="D14" t="inlineStr">
        <is>
          <t>Yosemite Circle</t>
        </is>
      </c>
      <c r="E14" t="inlineStr">
        <is>
          <t>SB</t>
        </is>
      </c>
      <c r="F14" t="n">
        <v>1</v>
      </c>
      <c r="G14" t="n">
        <v>5</v>
      </c>
      <c r="H14" t="n">
        <v>5</v>
      </c>
    </row>
    <row r="15">
      <c r="A15" t="inlineStr">
        <is>
          <t>Group 3 (Aurora/SE Denver)</t>
        </is>
      </c>
      <c r="B15" t="n">
        <v>15532</v>
      </c>
      <c r="C15" t="inlineStr">
        <is>
          <t>S Monaco St</t>
        </is>
      </c>
      <c r="D15" t="inlineStr">
        <is>
          <t>E Evans Ave</t>
        </is>
      </c>
      <c r="E15" t="inlineStr">
        <is>
          <t>NBFS</t>
        </is>
      </c>
      <c r="F15" t="n">
        <v>1</v>
      </c>
      <c r="G15" t="n">
        <v>5</v>
      </c>
      <c r="H15" t="n">
        <v>5</v>
      </c>
    </row>
    <row r="16">
      <c r="A16" t="inlineStr">
        <is>
          <t>Group 3 (Aurora/SE Denver)</t>
        </is>
      </c>
      <c r="B16" t="n">
        <v>17430</v>
      </c>
      <c r="C16" t="inlineStr">
        <is>
          <t>S Yosemite St</t>
        </is>
      </c>
      <c r="D16" t="inlineStr">
        <is>
          <t>E Arapahoe Rd</t>
        </is>
      </c>
      <c r="E16" t="inlineStr">
        <is>
          <t>NB</t>
        </is>
      </c>
      <c r="F16" t="n">
        <v>1</v>
      </c>
      <c r="G16" t="n">
        <v>5</v>
      </c>
      <c r="H16" t="n">
        <v>5</v>
      </c>
    </row>
    <row r="17">
      <c r="A17" t="inlineStr">
        <is>
          <t>Group 3 (Aurora/SE Denver)</t>
        </is>
      </c>
      <c r="B17" t="n">
        <v>20538</v>
      </c>
      <c r="C17" t="inlineStr">
        <is>
          <t>S Ulster St</t>
        </is>
      </c>
      <c r="D17" t="inlineStr">
        <is>
          <t>E Tufts Ave</t>
        </is>
      </c>
      <c r="E17" t="inlineStr">
        <is>
          <t>NB</t>
        </is>
      </c>
      <c r="F17" t="n">
        <v>4</v>
      </c>
      <c r="G17" t="n">
        <v>5</v>
      </c>
      <c r="H17" t="n">
        <v>20</v>
      </c>
    </row>
    <row r="18">
      <c r="A18" t="inlineStr">
        <is>
          <t>Group 3 (Aurora/SE Denver)</t>
        </is>
      </c>
      <c r="B18" t="n">
        <v>17455</v>
      </c>
      <c r="C18" t="inlineStr">
        <is>
          <t>S Yosemite St</t>
        </is>
      </c>
      <c r="D18" t="inlineStr">
        <is>
          <t>E Union Ave</t>
        </is>
      </c>
      <c r="E18" t="inlineStr">
        <is>
          <t>NBFS</t>
        </is>
      </c>
      <c r="F18" t="n">
        <v>1</v>
      </c>
      <c r="G18" t="n">
        <v>5</v>
      </c>
      <c r="H18" t="n">
        <v>5</v>
      </c>
    </row>
    <row r="19">
      <c r="A19" s="3" t="inlineStr">
        <is>
          <t>Group 3 (Aurora/SE Denver) subtotal</t>
        </is>
      </c>
      <c r="F19" t="n">
        <v>17</v>
      </c>
      <c r="H19" s="3" t="n">
        <v>85</v>
      </c>
    </row>
    <row r="20">
      <c r="A20" t="inlineStr">
        <is>
          <t>North Federal Blvd</t>
        </is>
      </c>
      <c r="B20" t="n">
        <v>13772</v>
      </c>
      <c r="C20" t="inlineStr">
        <is>
          <t>Federal Blvd</t>
        </is>
      </c>
      <c r="D20" t="inlineStr">
        <is>
          <t>92nd Ave</t>
        </is>
      </c>
      <c r="E20" t="inlineStr">
        <is>
          <t>SBFS</t>
        </is>
      </c>
      <c r="F20" t="n">
        <v>1</v>
      </c>
      <c r="G20" t="n">
        <v>5</v>
      </c>
      <c r="H20" t="n">
        <v>5</v>
      </c>
    </row>
    <row r="21">
      <c r="A21" t="inlineStr">
        <is>
          <t>North Federal Blvd</t>
        </is>
      </c>
      <c r="B21" t="n">
        <v>13753</v>
      </c>
      <c r="C21" t="inlineStr">
        <is>
          <t>Federal Blvd</t>
        </is>
      </c>
      <c r="D21" t="inlineStr">
        <is>
          <t>72nd Ave</t>
        </is>
      </c>
      <c r="E21" t="inlineStr">
        <is>
          <t>NBFS</t>
        </is>
      </c>
      <c r="F21" t="n">
        <v>1</v>
      </c>
      <c r="G21" t="n">
        <v>5</v>
      </c>
      <c r="H21" t="n">
        <v>5</v>
      </c>
    </row>
    <row r="22">
      <c r="A22" t="inlineStr">
        <is>
          <t>North Federal Blvd</t>
        </is>
      </c>
      <c r="B22" t="n">
        <v>11333</v>
      </c>
      <c r="C22" t="inlineStr">
        <is>
          <t>50th Ave</t>
        </is>
      </c>
      <c r="D22" t="inlineStr">
        <is>
          <t>Federal Blvd</t>
        </is>
      </c>
      <c r="E22" t="inlineStr">
        <is>
          <t>EBFS</t>
        </is>
      </c>
      <c r="F22" t="n">
        <v>1</v>
      </c>
      <c r="G22" t="n">
        <v>5</v>
      </c>
      <c r="H22" t="n">
        <v>5</v>
      </c>
    </row>
    <row r="23">
      <c r="A23" t="inlineStr">
        <is>
          <t>North Federal Blvd</t>
        </is>
      </c>
      <c r="B23" t="n">
        <v>13731</v>
      </c>
      <c r="C23" t="inlineStr">
        <is>
          <t>Federal Blvd</t>
        </is>
      </c>
      <c r="D23" t="inlineStr">
        <is>
          <t>50th Ave</t>
        </is>
      </c>
      <c r="E23" t="inlineStr">
        <is>
          <t>SBFS</t>
        </is>
      </c>
      <c r="F23" t="n">
        <v>1</v>
      </c>
      <c r="G23" t="n">
        <v>5</v>
      </c>
      <c r="H23" t="n">
        <v>5</v>
      </c>
    </row>
    <row r="24">
      <c r="A24" t="inlineStr">
        <is>
          <t>North Federal Blvd</t>
        </is>
      </c>
      <c r="B24" t="n">
        <v>11132</v>
      </c>
      <c r="C24" t="inlineStr">
        <is>
          <t>44th Ave</t>
        </is>
      </c>
      <c r="D24" t="inlineStr">
        <is>
          <t>Federal Blvd</t>
        </is>
      </c>
      <c r="E24" t="inlineStr">
        <is>
          <t>EBFS</t>
        </is>
      </c>
      <c r="F24" t="n">
        <v>1</v>
      </c>
      <c r="G24" t="n">
        <v>5</v>
      </c>
      <c r="H24" t="n">
        <v>5</v>
      </c>
    </row>
    <row r="25">
      <c r="A25" t="inlineStr">
        <is>
          <t>North Federal Blvd</t>
        </is>
      </c>
      <c r="B25" t="n">
        <v>13821</v>
      </c>
      <c r="C25" t="inlineStr">
        <is>
          <t>Federal Blvd</t>
        </is>
      </c>
      <c r="D25" t="inlineStr">
        <is>
          <t>32nd Ave (Highland Park)</t>
        </is>
      </c>
      <c r="E25" t="inlineStr">
        <is>
          <t>SBNS</t>
        </is>
      </c>
      <c r="F25" t="n">
        <v>1</v>
      </c>
      <c r="G25" t="n">
        <v>5</v>
      </c>
      <c r="H25" t="n">
        <v>5</v>
      </c>
    </row>
    <row r="26">
      <c r="A26" t="inlineStr">
        <is>
          <t>North Federal Blvd</t>
        </is>
      </c>
      <c r="B26" t="n">
        <v>13715</v>
      </c>
      <c r="C26" t="inlineStr">
        <is>
          <t>Federal Blvd</t>
        </is>
      </c>
      <c r="D26" t="inlineStr">
        <is>
          <t>32nd Ave</t>
        </is>
      </c>
      <c r="E26" t="inlineStr">
        <is>
          <t>NBFS</t>
        </is>
      </c>
      <c r="F26" t="n">
        <v>1</v>
      </c>
      <c r="G26" t="n">
        <v>5</v>
      </c>
      <c r="H26" t="n">
        <v>5</v>
      </c>
    </row>
    <row r="27">
      <c r="A27" t="inlineStr">
        <is>
          <t>North Federal Blvd</t>
        </is>
      </c>
      <c r="B27" t="n">
        <v>13712</v>
      </c>
      <c r="C27" t="inlineStr">
        <is>
          <t>Federal Blvd</t>
        </is>
      </c>
      <c r="D27" t="inlineStr">
        <is>
          <t>27th Ave</t>
        </is>
      </c>
      <c r="E27" t="inlineStr">
        <is>
          <t>SBFS</t>
        </is>
      </c>
      <c r="F27" t="n">
        <v>1</v>
      </c>
      <c r="G27" t="n">
        <v>5</v>
      </c>
      <c r="H27" t="n">
        <v>5</v>
      </c>
    </row>
    <row r="28">
      <c r="A28" t="inlineStr">
        <is>
          <t>North Federal Blvd</t>
        </is>
      </c>
      <c r="B28" t="n">
        <v>10045</v>
      </c>
      <c r="C28" t="inlineStr">
        <is>
          <t>10th Ave</t>
        </is>
      </c>
      <c r="D28" t="inlineStr">
        <is>
          <t>Federal Blvd</t>
        </is>
      </c>
      <c r="E28" t="inlineStr">
        <is>
          <t>WBFS</t>
        </is>
      </c>
      <c r="F28" t="n">
        <v>1</v>
      </c>
      <c r="G28" t="n">
        <v>5</v>
      </c>
      <c r="H28" t="n">
        <v>5</v>
      </c>
    </row>
    <row r="29">
      <c r="A29" s="3" t="inlineStr">
        <is>
          <t>North Federal Blvd subtotal</t>
        </is>
      </c>
      <c r="F29" t="n">
        <v>9</v>
      </c>
      <c r="H29" s="3" t="n">
        <v>45</v>
      </c>
    </row>
    <row r="30">
      <c r="A30" t="inlineStr">
        <is>
          <t>South Federal Blvd</t>
        </is>
      </c>
      <c r="B30" t="n">
        <v>13781</v>
      </c>
      <c r="C30" t="inlineStr">
        <is>
          <t>Federal Blvd</t>
        </is>
      </c>
      <c r="D30" t="inlineStr">
        <is>
          <t>Alameda Ave</t>
        </is>
      </c>
      <c r="E30" t="inlineStr">
        <is>
          <t>NBFS</t>
        </is>
      </c>
      <c r="F30" t="n">
        <v>1</v>
      </c>
      <c r="G30" t="n">
        <v>5</v>
      </c>
      <c r="H30" t="n">
        <v>5</v>
      </c>
    </row>
    <row r="31">
      <c r="A31" t="inlineStr">
        <is>
          <t>South Federal Blvd</t>
        </is>
      </c>
      <c r="B31" t="n">
        <v>11992</v>
      </c>
      <c r="C31" t="inlineStr">
        <is>
          <t>Alameda Ave</t>
        </is>
      </c>
      <c r="D31" t="inlineStr">
        <is>
          <t>Federal Blvd</t>
        </is>
      </c>
      <c r="E31" t="inlineStr">
        <is>
          <t>WBFS</t>
        </is>
      </c>
      <c r="F31" t="n">
        <v>1</v>
      </c>
      <c r="G31" t="n">
        <v>5</v>
      </c>
      <c r="H31" t="n">
        <v>5</v>
      </c>
    </row>
    <row r="32">
      <c r="A32" t="inlineStr">
        <is>
          <t>South Federal Blvd</t>
        </is>
      </c>
      <c r="B32" t="n">
        <v>11991</v>
      </c>
      <c r="C32" t="inlineStr">
        <is>
          <t>Alameda Ave</t>
        </is>
      </c>
      <c r="D32" t="inlineStr">
        <is>
          <t>Federal Blvd</t>
        </is>
      </c>
      <c r="E32" t="inlineStr">
        <is>
          <t>EBFS</t>
        </is>
      </c>
      <c r="F32" t="n">
        <v>1</v>
      </c>
      <c r="G32" t="n">
        <v>5</v>
      </c>
      <c r="H32" t="n">
        <v>5</v>
      </c>
    </row>
    <row r="33">
      <c r="A33" t="inlineStr">
        <is>
          <t>South Federal Blvd</t>
        </is>
      </c>
      <c r="B33" t="n">
        <v>13658</v>
      </c>
      <c r="C33" t="inlineStr">
        <is>
          <t>Exposition Ave</t>
        </is>
      </c>
      <c r="D33" t="inlineStr">
        <is>
          <t>Federal Blvd</t>
        </is>
      </c>
      <c r="E33" t="inlineStr">
        <is>
          <t>WBNS</t>
        </is>
      </c>
      <c r="F33" t="n">
        <v>1</v>
      </c>
      <c r="G33" t="n">
        <v>5</v>
      </c>
      <c r="H33" t="n">
        <v>5</v>
      </c>
    </row>
    <row r="34">
      <c r="A34" t="inlineStr">
        <is>
          <t>South Federal Blvd</t>
        </is>
      </c>
      <c r="B34" t="n">
        <v>13657</v>
      </c>
      <c r="C34" t="inlineStr">
        <is>
          <t>Exposition Ave</t>
        </is>
      </c>
      <c r="D34" t="inlineStr">
        <is>
          <t>Federal Blvd</t>
        </is>
      </c>
      <c r="E34" t="inlineStr">
        <is>
          <t>EBFS</t>
        </is>
      </c>
      <c r="F34" t="n">
        <v>1</v>
      </c>
      <c r="G34" t="n">
        <v>5</v>
      </c>
      <c r="H34" t="n">
        <v>5</v>
      </c>
    </row>
    <row r="35">
      <c r="A35" t="inlineStr">
        <is>
          <t>South Federal Blvd</t>
        </is>
      </c>
      <c r="B35" t="n">
        <v>13812</v>
      </c>
      <c r="C35" t="inlineStr">
        <is>
          <t>Federal Blvd</t>
        </is>
      </c>
      <c r="D35" t="inlineStr">
        <is>
          <t>Exposition Ave</t>
        </is>
      </c>
      <c r="E35" t="inlineStr">
        <is>
          <t>SBFS</t>
        </is>
      </c>
      <c r="F35" t="n">
        <v>1</v>
      </c>
      <c r="G35" t="n">
        <v>5</v>
      </c>
      <c r="H35" t="n">
        <v>5</v>
      </c>
    </row>
    <row r="36">
      <c r="A36" t="inlineStr">
        <is>
          <t>South Federal Blvd</t>
        </is>
      </c>
      <c r="B36" t="n">
        <v>13811</v>
      </c>
      <c r="C36" t="inlineStr">
        <is>
          <t>Federal Blvd</t>
        </is>
      </c>
      <c r="D36" t="inlineStr">
        <is>
          <t>Exposition Ave</t>
        </is>
      </c>
      <c r="E36" t="inlineStr">
        <is>
          <t>NBNS</t>
        </is>
      </c>
      <c r="F36" t="n">
        <v>1</v>
      </c>
      <c r="G36" t="n">
        <v>5</v>
      </c>
      <c r="H36" t="n">
        <v>5</v>
      </c>
    </row>
    <row r="37">
      <c r="A37" t="inlineStr">
        <is>
          <t>South Federal Blvd</t>
        </is>
      </c>
      <c r="B37" t="n">
        <v>13829</v>
      </c>
      <c r="C37" t="inlineStr">
        <is>
          <t>Federal Blvd</t>
        </is>
      </c>
      <c r="D37" t="inlineStr">
        <is>
          <t>Kentucky Ave</t>
        </is>
      </c>
      <c r="E37" t="inlineStr">
        <is>
          <t>NBFS</t>
        </is>
      </c>
      <c r="F37" t="n">
        <v>1</v>
      </c>
      <c r="G37" t="n">
        <v>5</v>
      </c>
      <c r="H37" t="n">
        <v>5</v>
      </c>
    </row>
    <row r="38">
      <c r="A38" t="inlineStr">
        <is>
          <t>South Federal Blvd</t>
        </is>
      </c>
      <c r="B38" t="n">
        <v>13836</v>
      </c>
      <c r="C38" t="inlineStr">
        <is>
          <t>Federal Blvd</t>
        </is>
      </c>
      <c r="D38" t="inlineStr">
        <is>
          <t>Mississippi Ave</t>
        </is>
      </c>
      <c r="E38" t="inlineStr">
        <is>
          <t>NBFS</t>
        </is>
      </c>
      <c r="F38" t="n">
        <v>1</v>
      </c>
      <c r="G38" t="n">
        <v>5</v>
      </c>
      <c r="H38" t="n">
        <v>5</v>
      </c>
    </row>
    <row r="39">
      <c r="A39" t="inlineStr">
        <is>
          <t>South Federal Blvd</t>
        </is>
      </c>
      <c r="B39" t="n">
        <v>13837</v>
      </c>
      <c r="C39" t="inlineStr">
        <is>
          <t>Federal Blvd</t>
        </is>
      </c>
      <c r="D39" t="inlineStr">
        <is>
          <t>Mississippi Ave</t>
        </is>
      </c>
      <c r="E39" t="inlineStr">
        <is>
          <t>SBFS</t>
        </is>
      </c>
      <c r="F39" t="n">
        <v>1</v>
      </c>
      <c r="G39" t="n">
        <v>5</v>
      </c>
      <c r="H39" t="n">
        <v>5</v>
      </c>
    </row>
    <row r="40">
      <c r="A40" t="inlineStr">
        <is>
          <t>South Federal Blvd</t>
        </is>
      </c>
      <c r="B40" t="n">
        <v>13833</v>
      </c>
      <c r="C40" t="inlineStr">
        <is>
          <t>Federal Blvd</t>
        </is>
      </c>
      <c r="D40" t="inlineStr">
        <is>
          <t>Louisiana Ave</t>
        </is>
      </c>
      <c r="E40" t="inlineStr">
        <is>
          <t>NBFS</t>
        </is>
      </c>
      <c r="F40" t="n">
        <v>1</v>
      </c>
      <c r="G40" t="n">
        <v>5</v>
      </c>
      <c r="H40" t="n">
        <v>5</v>
      </c>
    </row>
    <row r="41">
      <c r="A41" t="inlineStr">
        <is>
          <t>South Federal Blvd</t>
        </is>
      </c>
      <c r="B41" t="n">
        <v>13832</v>
      </c>
      <c r="C41" t="inlineStr">
        <is>
          <t>Federal Blvd</t>
        </is>
      </c>
      <c r="D41" t="inlineStr">
        <is>
          <t>Louisiana Ave</t>
        </is>
      </c>
      <c r="E41" t="inlineStr">
        <is>
          <t>SBFS</t>
        </is>
      </c>
      <c r="F41" t="n">
        <v>1</v>
      </c>
      <c r="G41" t="n">
        <v>5</v>
      </c>
      <c r="H41" t="n">
        <v>5</v>
      </c>
    </row>
    <row r="42">
      <c r="A42" t="inlineStr">
        <is>
          <t>South Federal Blvd</t>
        </is>
      </c>
      <c r="B42" t="n">
        <v>13800</v>
      </c>
      <c r="C42" t="inlineStr">
        <is>
          <t>Federal Blvd</t>
        </is>
      </c>
      <c r="D42" t="inlineStr">
        <is>
          <t>Colorado Ave</t>
        </is>
      </c>
      <c r="E42" t="inlineStr">
        <is>
          <t>NBFS</t>
        </is>
      </c>
      <c r="F42" t="n">
        <v>1</v>
      </c>
      <c r="G42" t="n">
        <v>5</v>
      </c>
      <c r="H42" t="n">
        <v>5</v>
      </c>
    </row>
    <row r="43">
      <c r="A43" t="inlineStr">
        <is>
          <t>South Federal Blvd</t>
        </is>
      </c>
      <c r="B43" t="n">
        <v>13809</v>
      </c>
      <c r="C43" t="inlineStr">
        <is>
          <t>Federal Blvd</t>
        </is>
      </c>
      <c r="D43" t="inlineStr">
        <is>
          <t>Evans Ave</t>
        </is>
      </c>
      <c r="E43" t="inlineStr">
        <is>
          <t>NBFS</t>
        </is>
      </c>
      <c r="F43" t="n">
        <v>1</v>
      </c>
      <c r="G43" t="n">
        <v>5</v>
      </c>
      <c r="H43" t="n">
        <v>5</v>
      </c>
    </row>
    <row r="44">
      <c r="A44" t="inlineStr">
        <is>
          <t>South Federal Blvd</t>
        </is>
      </c>
      <c r="B44" t="n">
        <v>13581</v>
      </c>
      <c r="C44" t="inlineStr">
        <is>
          <t>Evans Ave</t>
        </is>
      </c>
      <c r="D44" t="inlineStr">
        <is>
          <t>Federal Blvd</t>
        </is>
      </c>
      <c r="E44" t="inlineStr">
        <is>
          <t>EBFS</t>
        </is>
      </c>
      <c r="F44" t="n">
        <v>1</v>
      </c>
      <c r="G44" t="n">
        <v>5</v>
      </c>
      <c r="H44" t="n">
        <v>5</v>
      </c>
    </row>
    <row r="45">
      <c r="A45" t="inlineStr">
        <is>
          <t>South Federal Blvd</t>
        </is>
      </c>
      <c r="B45" t="n">
        <v>13782</v>
      </c>
      <c r="C45" t="inlineStr">
        <is>
          <t>Federal Blvd</t>
        </is>
      </c>
      <c r="D45" t="inlineStr">
        <is>
          <t>Alameda Ave</t>
        </is>
      </c>
      <c r="E45" t="inlineStr">
        <is>
          <t>SBFS</t>
        </is>
      </c>
      <c r="F45" t="n">
        <v>1</v>
      </c>
      <c r="G45" t="n">
        <v>5</v>
      </c>
      <c r="H45" t="n">
        <v>5</v>
      </c>
    </row>
    <row r="46">
      <c r="A46" s="3" t="inlineStr">
        <is>
          <t>South Federal Blvd subtotal</t>
        </is>
      </c>
      <c r="F46" t="n">
        <v>16</v>
      </c>
      <c r="H46" s="3" t="n">
        <v>80</v>
      </c>
    </row>
    <row r="48">
      <c r="A48" t="inlineStr">
        <is>
          <t>Plus: Federal &amp; Colfax Transfer Center and Federal &amp; Evans Transfer Center (frequency per RTD SOW; stop 13810 Federal/Evans SB is listed as transfer center shelters + DRS)</t>
        </is>
      </c>
    </row>
    <row r="49">
      <c r="A49" s="3" t="inlineStr">
        <is>
          <t>TOTAL (42 shelters)</t>
        </is>
      </c>
      <c r="F49" t="n">
        <v>42</v>
      </c>
      <c r="H49" s="3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2026-10-19T19:02:36Z</dcterms:created>
  <dcterms:modified xmlns:dcterms="http://purl.org/dc/terms/" xmlns:xsi="http://www.w3.org/2001/XMLSchema-instance" xsi:type="dcterms:W3CDTF">2026-10-19T19:03:29Z</dcterms:modified>
</cp:coreProperties>
</file>