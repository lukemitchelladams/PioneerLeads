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Purchasing Team Drive\Purchasing\RFPs - Bids\27-07 RFP Fire Suppression\"/>
    </mc:Choice>
  </mc:AlternateContent>
  <xr:revisionPtr revIDLastSave="0" documentId="13_ncr:1_{8373C994-FB87-41D5-BC15-9617F51292B2}" xr6:coauthVersionLast="36" xr6:coauthVersionMax="36" xr10:uidLastSave="{00000000-0000-0000-0000-000000000000}"/>
  <bookViews>
    <workbookView xWindow="0" yWindow="0" windowWidth="23040" windowHeight="9684" activeTab="2" xr2:uid="{00000000-000D-0000-FFFF-FFFF00000000}"/>
  </bookViews>
  <sheets>
    <sheet name="Part 1" sheetId="1" r:id="rId1"/>
    <sheet name="Part 2" sheetId="2" r:id="rId2"/>
    <sheet name="Part 3" sheetId="3" r:id="rId3"/>
  </sheets>
  <calcPr calcId="191029"/>
  <extLst>
    <ext uri="GoogleSheetsCustomDataVersion2">
      <go:sheetsCustomData xmlns:go="http://customooxmlschemas.google.com/" r:id="rId7" roundtripDataChecksum="Y1Cc/8XKcUXL7b9dL32VbzJsL+6KidUsy/8/0AiK0HM="/>
    </ext>
  </extLst>
</workbook>
</file>

<file path=xl/calcChain.xml><?xml version="1.0" encoding="utf-8"?>
<calcChain xmlns="http://schemas.openxmlformats.org/spreadsheetml/2006/main">
  <c r="W56" i="1" l="1"/>
  <c r="V56" i="1"/>
  <c r="U56" i="1"/>
  <c r="S56" i="1"/>
  <c r="R56" i="1"/>
  <c r="Q56" i="1"/>
  <c r="P56" i="1"/>
  <c r="O56" i="1"/>
  <c r="M56" i="1"/>
  <c r="K56" i="1"/>
  <c r="J56" i="1"/>
  <c r="I56" i="1"/>
  <c r="H56" i="1"/>
  <c r="G56" i="1"/>
  <c r="F56" i="1"/>
  <c r="E56" i="1"/>
  <c r="D56" i="1"/>
  <c r="C56" i="1"/>
</calcChain>
</file>

<file path=xl/sharedStrings.xml><?xml version="1.0" encoding="utf-8"?>
<sst xmlns="http://schemas.openxmlformats.org/spreadsheetml/2006/main" count="180" uniqueCount="155">
  <si>
    <t>BVSD RFP 27-07 Fire Suppression Systems Services</t>
  </si>
  <si>
    <t>Attachment B - Locations and Pricing</t>
  </si>
  <si>
    <t xml:space="preserve">Part 2 - Ongoing Fire Sprinkler Maintenance and Repairs </t>
  </si>
  <si>
    <t>Part 3 - Portable Fire Extinguisher Annual Testing and Maintenance</t>
  </si>
  <si>
    <t>Company Name:</t>
  </si>
  <si>
    <t>Part 1 - Annual Fire Sprinkler System Inspections</t>
  </si>
  <si>
    <t>Year 1</t>
  </si>
  <si>
    <t>Year 2 (if renewed)</t>
  </si>
  <si>
    <t>Year 3 (if renewed)</t>
  </si>
  <si>
    <t>Year 4 (if renewed)</t>
  </si>
  <si>
    <t>Annual Inspection Pricing</t>
  </si>
  <si>
    <t>Year 5 (if renewed)</t>
  </si>
  <si>
    <t>Product / Service</t>
  </si>
  <si>
    <t>Response Time</t>
  </si>
  <si>
    <t>Unit Price</t>
  </si>
  <si>
    <t>Hourly Rate</t>
  </si>
  <si>
    <t>Wet/Dry System Unit Pricing</t>
  </si>
  <si>
    <t>5lb Replacement Extinguisher</t>
  </si>
  <si>
    <t>Standard Response Time (one week) - Regular Business Hours</t>
  </si>
  <si>
    <t>Campus</t>
  </si>
  <si>
    <t>Address</t>
  </si>
  <si>
    <t xml:space="preserve">Wet Sprinkler System </t>
  </si>
  <si>
    <t>Total Wet Sprinkler Risers</t>
  </si>
  <si>
    <t>Wet Sprinkler Anti-Freeze Loop</t>
  </si>
  <si>
    <t>Standard Response Time (one week) - Nights/Weekends/Holidays</t>
  </si>
  <si>
    <t xml:space="preserve">Dry System </t>
  </si>
  <si>
    <t>10lb Replacement Extinguisher</t>
  </si>
  <si>
    <t>Clean Agent Suppression System</t>
  </si>
  <si>
    <t xml:space="preserve">Flow Switches </t>
  </si>
  <si>
    <t xml:space="preserve">Tamper Switches </t>
  </si>
  <si>
    <t>Fire Pump</t>
  </si>
  <si>
    <t xml:space="preserve">FDC </t>
  </si>
  <si>
    <t>High Priority Calls (within 24 hours) - Regular Business Hours</t>
  </si>
  <si>
    <t>ABC Replacement Extinguisher</t>
  </si>
  <si>
    <t xml:space="preserve">Square Footage </t>
  </si>
  <si>
    <t>High Priority Calls (within 24 hours) - Nights/Weekends/Holidays</t>
  </si>
  <si>
    <t>Total Cost - Year 1</t>
  </si>
  <si>
    <t>Total Cost - Year 2 (if renewed)</t>
  </si>
  <si>
    <t>Type K Replacement Extinguisher</t>
  </si>
  <si>
    <t>Total Cost - Year 3 (if renewed)</t>
  </si>
  <si>
    <t>Total Cost - Year 4 (if renewed)</t>
  </si>
  <si>
    <t>Emergency Calls (within 4 hours) - Regular Business Hours</t>
  </si>
  <si>
    <t>Total Cost - Year 5 (if renewed)</t>
  </si>
  <si>
    <t>6-Year Service (per extinguisher)</t>
  </si>
  <si>
    <t>Emergency Calls (within 4 hours) - Nights/Weekends/Holidays</t>
  </si>
  <si>
    <t>5-Year Internal Pipe Inspection (per riser)</t>
  </si>
  <si>
    <t>Hydrostatic Test (per extinguisher)</t>
  </si>
  <si>
    <t>5-Year FDC Hydro Test</t>
  </si>
  <si>
    <t>3-Year Dry Valve Full Trip Test</t>
  </si>
  <si>
    <t>Alicia Sanchez Elementary</t>
  </si>
  <si>
    <t xml:space="preserve">Parts Markup </t>
  </si>
  <si>
    <t>Hourly labor rate for correcting extinguisher deficiencies</t>
  </si>
  <si>
    <t>655 Sir Galahad Dr. Lafayette, CO 80026</t>
  </si>
  <si>
    <t xml:space="preserve">Please detail any discounts and incentives in the space below: </t>
  </si>
  <si>
    <t>(percentage markup you will charge the District on parts)</t>
  </si>
  <si>
    <t>Angevine Middle School</t>
  </si>
  <si>
    <t>1150 S. Boulder Rd. Lafayette, CO 80026</t>
  </si>
  <si>
    <t>Additional comments:</t>
  </si>
  <si>
    <t>Arapahoe Ridge / APEX</t>
  </si>
  <si>
    <t>6600 Arapahoe Rd, Boulder, CO 80303</t>
  </si>
  <si>
    <t>Aspen Creek PK-8 School</t>
  </si>
  <si>
    <t>5500 Aspen Creek Dr. Broomfield, CO 80020</t>
  </si>
  <si>
    <t>Bear Creek Elementary School</t>
  </si>
  <si>
    <t>2500 Table Mesa Dr. Boulder, CO 80305</t>
  </si>
  <si>
    <t>Birch Elementary School</t>
  </si>
  <si>
    <t>1035 Birch St. Broomfield, CO 80020</t>
  </si>
  <si>
    <t>Boulder Community School of Integrated Studies</t>
  </si>
  <si>
    <t>3995 Aurora Ave. Boulder, CO 80303</t>
  </si>
  <si>
    <t>Boulder High School</t>
  </si>
  <si>
    <t xml:space="preserve">1604 Arapahoe Ave,  Boulder, Co 80303
</t>
  </si>
  <si>
    <t>Boulder Preparatory High School</t>
  </si>
  <si>
    <t>5075 Chaparral Ct STE 1, Boulder, CO 80301</t>
  </si>
  <si>
    <t>Boulder Terminal Dispatch Office</t>
  </si>
  <si>
    <t>1951 63rd St. Boulder, Co 80301</t>
  </si>
  <si>
    <t>Broomfield Heights Middle School</t>
  </si>
  <si>
    <t>1555 Daphne St., Broomfield, Co 80020</t>
  </si>
  <si>
    <t>BVSD Culinary Center</t>
  </si>
  <si>
    <t>6500 Arapahoe Rd., Boulder, Co 80303</t>
  </si>
  <si>
    <t>Broomfield High School</t>
  </si>
  <si>
    <t>1 Eagle Way,  Broomfield, CO 80020</t>
  </si>
  <si>
    <t>Casey Middle School</t>
  </si>
  <si>
    <t>1301 High St., Boulder, CO 80304</t>
  </si>
  <si>
    <t>Centaurus High School</t>
  </si>
  <si>
    <t>10300 S. Boulder Rd., Lafayette, CO 80026</t>
  </si>
  <si>
    <t>Centennial Middle School</t>
  </si>
  <si>
    <t>2205 Norwood Ave., Boulder, CO 80304</t>
  </si>
  <si>
    <t>Columbine Elementary School</t>
  </si>
  <si>
    <t>3131 Repplier Dr., Boulder, CO 80304</t>
  </si>
  <si>
    <t>Creekside Elementary School</t>
  </si>
  <si>
    <t>3740 Martin Dr., Boulder, CO 80305</t>
  </si>
  <si>
    <t>Douglass Elementary School</t>
  </si>
  <si>
    <t>840 75th St., Boulder, CO 80303</t>
  </si>
  <si>
    <t>Education Center Administration Building</t>
  </si>
  <si>
    <t>6500 Arapahoe Rd., Boulder, CO 80303</t>
  </si>
  <si>
    <t>Eisenhower Elementary School</t>
  </si>
  <si>
    <t>1220 Eisenhower Dr., Boulder, CO 80303</t>
  </si>
  <si>
    <t>Eldorado PK-8 School</t>
  </si>
  <si>
    <t>3351 Indiana St., Superior, CO 80027</t>
  </si>
  <si>
    <t xml:space="preserve">Escuela Bilingue Pioneer </t>
  </si>
  <si>
    <t>101 Baseline Rd., Boulder, CO 80026</t>
  </si>
  <si>
    <t>Emerald Elementary School</t>
  </si>
  <si>
    <t>275 Emerald St., Broomfield, CO 80020</t>
  </si>
  <si>
    <t>Fairview High School</t>
  </si>
  <si>
    <t>1515 Greenbriar Blvd., Boulder, CO 80305</t>
  </si>
  <si>
    <t>Fireside Elementary School</t>
  </si>
  <si>
    <t>845 W. Dahlia St., Louisville, CO 80027</t>
  </si>
  <si>
    <t>Flatirons Elementary School</t>
  </si>
  <si>
    <t>1150 7th St., Boulder, CO 80302</t>
  </si>
  <si>
    <t>Foothill Elementary School</t>
  </si>
  <si>
    <t>1001 Hawthorne Ave., Boulder, CO 80304</t>
  </si>
  <si>
    <t>Halcyon</t>
  </si>
  <si>
    <t>3100 Bucknell Ct, Boulder, CO 80305</t>
  </si>
  <si>
    <t>Heatherwood Elementary School</t>
  </si>
  <si>
    <t>7750 Concord Dr., Boulder, CO 80301</t>
  </si>
  <si>
    <t>Horizons K-8 School</t>
  </si>
  <si>
    <t>4545 Sioux Dr., Boulder, CO 80303</t>
  </si>
  <si>
    <t>Kohl Elementary School</t>
  </si>
  <si>
    <t>1000 W. 10th Ave., Broomfield, CO 80020</t>
  </si>
  <si>
    <t>Lafayette Elementary School</t>
  </si>
  <si>
    <t>101 N. Bermont Ave., Lafayette, CO 80026</t>
  </si>
  <si>
    <t>Louisville Elementary School</t>
  </si>
  <si>
    <t>400 Hutchinson St., Louisville, CO 80027</t>
  </si>
  <si>
    <t>Louisville Middle School</t>
  </si>
  <si>
    <t>1341 Main St., Louisville, CO 80027</t>
  </si>
  <si>
    <t>Manhattan School of Arts and Academics</t>
  </si>
  <si>
    <t>290 Manhattan Dr., Boulder, CO 80303</t>
  </si>
  <si>
    <t>Mapleton Early Child Education Center</t>
  </si>
  <si>
    <t>840 Mapleton Ave., Boulder, CO 80304</t>
  </si>
  <si>
    <t>Meadowlark School</t>
  </si>
  <si>
    <t>2300 Meadow Sweet Lane, Erie, CO 80516</t>
  </si>
  <si>
    <t>Monarch High School</t>
  </si>
  <si>
    <t>329 Campus Dr., Louisville, CO 80027</t>
  </si>
  <si>
    <t>Monarch PK-8 School</t>
  </si>
  <si>
    <t>263 Campus Dr., Louisville, CO 80027</t>
  </si>
  <si>
    <t>Nederland Elementary School</t>
  </si>
  <si>
    <t>1 Sundown Trail Nederland, CO 8027</t>
  </si>
  <si>
    <t>Nederland Middle Senior High School</t>
  </si>
  <si>
    <t>597 Co Hwy 130, Nederland, CO 80466</t>
  </si>
  <si>
    <t>New Vista High School</t>
  </si>
  <si>
    <t>700 20th St. Boulder, CO 80302</t>
  </si>
  <si>
    <t>Nevin Platt Middle School</t>
  </si>
  <si>
    <t>6096 Baseline Rd. Boulder, CO 80303</t>
  </si>
  <si>
    <t>Southern Hills Middle School</t>
  </si>
  <si>
    <t>1500 Knox Dr. Boulder, CO 80026</t>
  </si>
  <si>
    <t>Summit Charter Middle School</t>
  </si>
  <si>
    <t>4655 Hanover Ave. Boulder, CO 80305</t>
  </si>
  <si>
    <t>Superior Elementary School</t>
  </si>
  <si>
    <t>1800 S. Indiana St. Superior, CO 80027</t>
  </si>
  <si>
    <t>Transitions Center</t>
  </si>
  <si>
    <t>University Hill Elementary School</t>
  </si>
  <si>
    <t>956 16th St. Boulder, CO 80302</t>
  </si>
  <si>
    <t>Whitter International Elementary School</t>
  </si>
  <si>
    <t>2008 Pine St. Boulder, CO 80302</t>
  </si>
  <si>
    <t>Total</t>
  </si>
  <si>
    <t xml:space="preserve">Additional comments: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</si>
</sst>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8" x14ac:knownFonts="1">
    <font>
      <sz val="10"/>
      <color rgb="FF000000"/>
      <name val="Arial"/>
      <scheme val="minor"/>
    </font>
    <font>
      <b/>
      <sz val="16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color rgb="FF000000"/>
      <name val="Arial"/>
    </font>
    <font>
      <sz val="10"/>
      <name val="Arial"/>
    </font>
    <font>
      <b/>
      <i/>
      <sz val="12"/>
      <color theme="1"/>
      <name val="Arial"/>
    </font>
    <font>
      <b/>
      <i/>
      <sz val="14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44" fontId="2" fillId="0" borderId="13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44" fontId="2" fillId="0" borderId="15" xfId="0" applyNumberFormat="1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right" vertical="center"/>
    </xf>
    <xf numFmtId="0" fontId="2" fillId="0" borderId="17" xfId="0" applyFont="1" applyBorder="1" applyAlignment="1">
      <alignment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6" fillId="3" borderId="7" xfId="0" applyFont="1" applyFill="1" applyBorder="1" applyAlignment="1">
      <alignment horizontal="center" vertical="center" wrapText="1"/>
    </xf>
    <xf numFmtId="44" fontId="2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6" fillId="3" borderId="24" xfId="0" applyFont="1" applyFill="1" applyBorder="1" applyAlignment="1">
      <alignment horizontal="center" vertical="center" wrapText="1"/>
    </xf>
    <xf numFmtId="164" fontId="2" fillId="0" borderId="23" xfId="0" applyNumberFormat="1" applyFont="1" applyBorder="1" applyAlignment="1">
      <alignment vertical="center" wrapText="1"/>
    </xf>
    <xf numFmtId="9" fontId="4" fillId="0" borderId="7" xfId="0" applyNumberFormat="1" applyFont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3" fontId="2" fillId="4" borderId="25" xfId="0" applyNumberFormat="1" applyFont="1" applyFill="1" applyBorder="1" applyAlignment="1">
      <alignment horizontal="right" vertical="center"/>
    </xf>
    <xf numFmtId="3" fontId="2" fillId="0" borderId="23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right" vertical="center"/>
    </xf>
    <xf numFmtId="0" fontId="2" fillId="0" borderId="27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3" fontId="2" fillId="4" borderId="27" xfId="0" applyNumberFormat="1" applyFont="1" applyFill="1" applyBorder="1" applyAlignment="1">
      <alignment horizontal="right" vertical="center"/>
    </xf>
    <xf numFmtId="3" fontId="2" fillId="0" borderId="27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3" fontId="2" fillId="4" borderId="29" xfId="0" applyNumberFormat="1" applyFont="1" applyFill="1" applyBorder="1" applyAlignment="1">
      <alignment horizontal="right" vertical="center"/>
    </xf>
    <xf numFmtId="3" fontId="2" fillId="0" borderId="28" xfId="0" applyNumberFormat="1" applyFont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0" fontId="2" fillId="3" borderId="30" xfId="0" applyFont="1" applyFill="1" applyBorder="1" applyAlignment="1">
      <alignment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3" fontId="6" fillId="3" borderId="32" xfId="0" applyNumberFormat="1" applyFont="1" applyFill="1" applyBorder="1" applyAlignment="1">
      <alignment horizontal="center" vertical="center"/>
    </xf>
    <xf numFmtId="165" fontId="7" fillId="3" borderId="30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6" xfId="0" applyFont="1" applyBorder="1" applyAlignment="1">
      <alignment horizontal="left" vertical="center"/>
    </xf>
    <xf numFmtId="0" fontId="5" fillId="0" borderId="9" xfId="0" applyFont="1" applyBorder="1"/>
    <xf numFmtId="0" fontId="5" fillId="0" borderId="11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/>
    <xf numFmtId="0" fontId="2" fillId="0" borderId="4" xfId="0" applyFont="1" applyBorder="1" applyAlignment="1">
      <alignment vertical="center" wrapText="1"/>
    </xf>
    <xf numFmtId="44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0" fillId="0" borderId="4" xfId="0" applyFont="1" applyBorder="1" applyAlignment="1"/>
    <xf numFmtId="0" fontId="3" fillId="0" borderId="33" xfId="0" applyFont="1" applyBorder="1" applyAlignment="1">
      <alignment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44" fontId="2" fillId="0" borderId="40" xfId="0" applyNumberFormat="1" applyFont="1" applyBorder="1" applyAlignment="1">
      <alignment horizontal="center" vertical="center" wrapText="1"/>
    </xf>
    <xf numFmtId="0" fontId="2" fillId="0" borderId="41" xfId="0" applyFont="1" applyBorder="1" applyAlignment="1">
      <alignment vertical="center" wrapText="1"/>
    </xf>
    <xf numFmtId="44" fontId="2" fillId="0" borderId="42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44" fontId="2" fillId="0" borderId="45" xfId="0" applyNumberFormat="1" applyFont="1" applyBorder="1" applyAlignment="1">
      <alignment horizontal="center" vertical="center" wrapText="1"/>
    </xf>
    <xf numFmtId="44" fontId="2" fillId="0" borderId="4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K1"/>
    </sheetView>
  </sheetViews>
  <sheetFormatPr defaultColWidth="12.5546875" defaultRowHeight="15" customHeight="1" x14ac:dyDescent="0.25"/>
  <cols>
    <col min="1" max="1" width="24.33203125" customWidth="1"/>
    <col min="2" max="2" width="39" customWidth="1"/>
    <col min="3" max="11" width="16.5546875" customWidth="1"/>
    <col min="12" max="12" width="1.88671875" customWidth="1"/>
    <col min="14" max="14" width="1.88671875" customWidth="1"/>
    <col min="15" max="19" width="17.5546875" customWidth="1"/>
    <col min="20" max="20" width="1.88671875" customWidth="1"/>
    <col min="21" max="23" width="16.5546875" customWidth="1"/>
  </cols>
  <sheetData>
    <row r="1" spans="1:23" ht="21.75" customHeight="1" x14ac:dyDescent="0.25">
      <c r="A1" s="60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2"/>
      <c r="M1" s="2"/>
      <c r="N1" s="2"/>
      <c r="O1" s="5"/>
      <c r="P1" s="2"/>
      <c r="Q1" s="2"/>
      <c r="R1" s="2"/>
      <c r="S1" s="2"/>
      <c r="T1" s="2"/>
      <c r="U1" s="2"/>
      <c r="V1" s="2"/>
    </row>
    <row r="2" spans="1:23" ht="21.75" customHeight="1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2"/>
      <c r="M2" s="2"/>
      <c r="N2" s="2"/>
      <c r="O2" s="5"/>
      <c r="P2" s="2"/>
      <c r="Q2" s="2"/>
      <c r="R2" s="2"/>
      <c r="S2" s="2"/>
      <c r="T2" s="2"/>
      <c r="U2" s="2"/>
      <c r="V2" s="2"/>
    </row>
    <row r="3" spans="1:23" ht="21.75" customHeight="1" x14ac:dyDescent="0.25">
      <c r="A3" s="54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2"/>
      <c r="M3" s="2"/>
      <c r="N3" s="2"/>
      <c r="O3" s="5"/>
      <c r="P3" s="2"/>
      <c r="Q3" s="2"/>
      <c r="R3" s="2"/>
      <c r="S3" s="2"/>
      <c r="T3" s="2"/>
      <c r="U3" s="2"/>
      <c r="V3" s="2"/>
    </row>
    <row r="4" spans="1:23" ht="21.75" customHeight="1" x14ac:dyDescent="0.25">
      <c r="A4" s="6" t="s">
        <v>4</v>
      </c>
      <c r="B4" s="7"/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59" t="s">
        <v>10</v>
      </c>
      <c r="P4" s="57"/>
      <c r="Q4" s="57"/>
      <c r="R4" s="57"/>
      <c r="S4" s="58"/>
      <c r="T4" s="2"/>
      <c r="U4" s="59" t="s">
        <v>16</v>
      </c>
      <c r="V4" s="57"/>
      <c r="W4" s="58"/>
    </row>
    <row r="5" spans="1:23" ht="62.4" x14ac:dyDescent="0.25">
      <c r="A5" s="12" t="s">
        <v>19</v>
      </c>
      <c r="B5" s="13" t="s">
        <v>20</v>
      </c>
      <c r="C5" s="13" t="s">
        <v>21</v>
      </c>
      <c r="D5" s="13" t="s">
        <v>22</v>
      </c>
      <c r="E5" s="13" t="s">
        <v>23</v>
      </c>
      <c r="F5" s="13" t="s">
        <v>25</v>
      </c>
      <c r="G5" s="13" t="s">
        <v>27</v>
      </c>
      <c r="H5" s="13" t="s">
        <v>28</v>
      </c>
      <c r="I5" s="13" t="s">
        <v>29</v>
      </c>
      <c r="J5" s="13" t="s">
        <v>30</v>
      </c>
      <c r="K5" s="18" t="s">
        <v>31</v>
      </c>
      <c r="L5" s="19"/>
      <c r="M5" s="21" t="s">
        <v>34</v>
      </c>
      <c r="N5" s="19"/>
      <c r="O5" s="21" t="s">
        <v>36</v>
      </c>
      <c r="P5" s="12" t="s">
        <v>37</v>
      </c>
      <c r="Q5" s="13" t="s">
        <v>39</v>
      </c>
      <c r="R5" s="13" t="s">
        <v>40</v>
      </c>
      <c r="S5" s="22" t="s">
        <v>42</v>
      </c>
      <c r="T5" s="19"/>
      <c r="U5" s="24" t="s">
        <v>45</v>
      </c>
      <c r="V5" s="24" t="s">
        <v>47</v>
      </c>
      <c r="W5" s="24" t="s">
        <v>48</v>
      </c>
    </row>
    <row r="6" spans="1:23" ht="27" customHeight="1" x14ac:dyDescent="0.25">
      <c r="A6" s="27" t="s">
        <v>49</v>
      </c>
      <c r="B6" s="29" t="s">
        <v>52</v>
      </c>
      <c r="C6" s="31">
        <v>1</v>
      </c>
      <c r="D6" s="31">
        <v>1</v>
      </c>
      <c r="E6" s="32"/>
      <c r="F6" s="32"/>
      <c r="G6" s="32"/>
      <c r="H6" s="31">
        <v>1</v>
      </c>
      <c r="I6" s="31">
        <v>3</v>
      </c>
      <c r="J6" s="32"/>
      <c r="K6" s="31">
        <v>1</v>
      </c>
      <c r="L6" s="33"/>
      <c r="M6" s="34">
        <v>53376</v>
      </c>
      <c r="N6" s="33"/>
      <c r="O6" s="35">
        <v>0</v>
      </c>
      <c r="P6" s="35">
        <v>0</v>
      </c>
      <c r="Q6" s="35">
        <v>0</v>
      </c>
      <c r="R6" s="35">
        <v>0</v>
      </c>
      <c r="S6" s="35">
        <v>0</v>
      </c>
      <c r="T6" s="33"/>
      <c r="U6" s="35">
        <v>0</v>
      </c>
      <c r="V6" s="35">
        <v>0</v>
      </c>
      <c r="W6" s="35">
        <v>0</v>
      </c>
    </row>
    <row r="7" spans="1:23" ht="27" customHeight="1" x14ac:dyDescent="0.25">
      <c r="A7" s="36" t="s">
        <v>55</v>
      </c>
      <c r="B7" s="36" t="s">
        <v>56</v>
      </c>
      <c r="C7" s="37">
        <v>1</v>
      </c>
      <c r="D7" s="37">
        <v>5</v>
      </c>
      <c r="E7" s="38"/>
      <c r="F7" s="38"/>
      <c r="G7" s="38"/>
      <c r="H7" s="37">
        <v>5</v>
      </c>
      <c r="I7" s="37">
        <v>9</v>
      </c>
      <c r="J7" s="38"/>
      <c r="K7" s="37">
        <v>1</v>
      </c>
      <c r="L7" s="39"/>
      <c r="M7" s="40">
        <v>121953</v>
      </c>
      <c r="N7" s="39"/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9"/>
      <c r="U7" s="35">
        <v>0</v>
      </c>
      <c r="V7" s="35">
        <v>0</v>
      </c>
      <c r="W7" s="35">
        <v>0</v>
      </c>
    </row>
    <row r="8" spans="1:23" ht="27" customHeight="1" x14ac:dyDescent="0.25">
      <c r="A8" s="36" t="s">
        <v>58</v>
      </c>
      <c r="B8" s="36" t="s">
        <v>59</v>
      </c>
      <c r="C8" s="37">
        <v>1</v>
      </c>
      <c r="D8" s="37">
        <v>4</v>
      </c>
      <c r="E8" s="38"/>
      <c r="F8" s="37">
        <v>1</v>
      </c>
      <c r="G8" s="37">
        <v>1</v>
      </c>
      <c r="H8" s="37">
        <v>4</v>
      </c>
      <c r="I8" s="37">
        <v>12</v>
      </c>
      <c r="J8" s="37">
        <v>1</v>
      </c>
      <c r="K8" s="37">
        <v>1</v>
      </c>
      <c r="L8" s="39"/>
      <c r="M8" s="40">
        <v>138380</v>
      </c>
      <c r="N8" s="39"/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9"/>
      <c r="U8" s="35">
        <v>0</v>
      </c>
      <c r="V8" s="35">
        <v>0</v>
      </c>
      <c r="W8" s="35">
        <v>0</v>
      </c>
    </row>
    <row r="9" spans="1:23" ht="27" customHeight="1" x14ac:dyDescent="0.25">
      <c r="A9" s="36" t="s">
        <v>60</v>
      </c>
      <c r="B9" s="36" t="s">
        <v>61</v>
      </c>
      <c r="C9" s="37">
        <v>1</v>
      </c>
      <c r="D9" s="37">
        <v>4</v>
      </c>
      <c r="E9" s="37">
        <v>1</v>
      </c>
      <c r="F9" s="38"/>
      <c r="G9" s="38"/>
      <c r="H9" s="37">
        <v>6</v>
      </c>
      <c r="I9" s="37">
        <v>9</v>
      </c>
      <c r="J9" s="38"/>
      <c r="K9" s="37">
        <v>1</v>
      </c>
      <c r="L9" s="39"/>
      <c r="M9" s="40">
        <v>123275</v>
      </c>
      <c r="N9" s="39"/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9"/>
      <c r="U9" s="35">
        <v>0</v>
      </c>
      <c r="V9" s="35">
        <v>0</v>
      </c>
      <c r="W9" s="35">
        <v>0</v>
      </c>
    </row>
    <row r="10" spans="1:23" ht="27" customHeight="1" x14ac:dyDescent="0.25">
      <c r="A10" s="36" t="s">
        <v>62</v>
      </c>
      <c r="B10" s="36" t="s">
        <v>63</v>
      </c>
      <c r="C10" s="37">
        <v>1</v>
      </c>
      <c r="D10" s="37">
        <v>2</v>
      </c>
      <c r="E10" s="38"/>
      <c r="F10" s="38"/>
      <c r="G10" s="38"/>
      <c r="H10" s="37">
        <v>2</v>
      </c>
      <c r="I10" s="37">
        <v>4</v>
      </c>
      <c r="J10" s="38"/>
      <c r="K10" s="37">
        <v>1</v>
      </c>
      <c r="L10" s="39"/>
      <c r="M10" s="40">
        <v>54579</v>
      </c>
      <c r="N10" s="39"/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9"/>
      <c r="U10" s="35">
        <v>0</v>
      </c>
      <c r="V10" s="35">
        <v>0</v>
      </c>
      <c r="W10" s="35">
        <v>0</v>
      </c>
    </row>
    <row r="11" spans="1:23" ht="27" customHeight="1" x14ac:dyDescent="0.25">
      <c r="A11" s="36" t="s">
        <v>64</v>
      </c>
      <c r="B11" s="36" t="s">
        <v>65</v>
      </c>
      <c r="C11" s="37">
        <v>1</v>
      </c>
      <c r="D11" s="31">
        <v>1</v>
      </c>
      <c r="E11" s="32"/>
      <c r="F11" s="32"/>
      <c r="G11" s="32"/>
      <c r="H11" s="37">
        <v>1</v>
      </c>
      <c r="I11" s="37">
        <v>3</v>
      </c>
      <c r="J11" s="32"/>
      <c r="K11" s="31">
        <v>1</v>
      </c>
      <c r="L11" s="39"/>
      <c r="M11" s="40">
        <v>52961</v>
      </c>
      <c r="N11" s="39"/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9"/>
      <c r="U11" s="35">
        <v>0</v>
      </c>
      <c r="V11" s="35">
        <v>0</v>
      </c>
      <c r="W11" s="35">
        <v>0</v>
      </c>
    </row>
    <row r="12" spans="1:23" ht="27" customHeight="1" x14ac:dyDescent="0.25">
      <c r="A12" s="36" t="s">
        <v>66</v>
      </c>
      <c r="B12" s="36" t="s">
        <v>67</v>
      </c>
      <c r="C12" s="37">
        <v>1</v>
      </c>
      <c r="D12" s="31">
        <v>2</v>
      </c>
      <c r="E12" s="32"/>
      <c r="F12" s="32"/>
      <c r="G12" s="32"/>
      <c r="H12" s="37">
        <v>2</v>
      </c>
      <c r="I12" s="37">
        <v>4</v>
      </c>
      <c r="J12" s="32"/>
      <c r="K12" s="31">
        <v>1</v>
      </c>
      <c r="L12" s="39"/>
      <c r="M12" s="40">
        <v>64728</v>
      </c>
      <c r="N12" s="39"/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9"/>
      <c r="U12" s="35">
        <v>0</v>
      </c>
      <c r="V12" s="35">
        <v>0</v>
      </c>
      <c r="W12" s="35">
        <v>0</v>
      </c>
    </row>
    <row r="13" spans="1:23" ht="27" customHeight="1" x14ac:dyDescent="0.25">
      <c r="A13" s="36" t="s">
        <v>68</v>
      </c>
      <c r="B13" s="36" t="s">
        <v>69</v>
      </c>
      <c r="C13" s="37">
        <v>1</v>
      </c>
      <c r="D13" s="37">
        <v>7</v>
      </c>
      <c r="E13" s="37">
        <v>1</v>
      </c>
      <c r="F13" s="38"/>
      <c r="G13" s="38"/>
      <c r="H13" s="37">
        <v>7</v>
      </c>
      <c r="I13" s="37">
        <v>13</v>
      </c>
      <c r="J13" s="38"/>
      <c r="K13" s="37">
        <v>1</v>
      </c>
      <c r="L13" s="39"/>
      <c r="M13" s="40">
        <v>245411</v>
      </c>
      <c r="N13" s="39"/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9"/>
      <c r="U13" s="35">
        <v>0</v>
      </c>
      <c r="V13" s="35">
        <v>0</v>
      </c>
      <c r="W13" s="35">
        <v>0</v>
      </c>
    </row>
    <row r="14" spans="1:23" ht="27" customHeight="1" x14ac:dyDescent="0.25">
      <c r="A14" s="36" t="s">
        <v>70</v>
      </c>
      <c r="B14" s="36" t="s">
        <v>71</v>
      </c>
      <c r="C14" s="37">
        <v>1</v>
      </c>
      <c r="D14" s="37">
        <v>1</v>
      </c>
      <c r="E14" s="38"/>
      <c r="F14" s="38"/>
      <c r="G14" s="38"/>
      <c r="H14" s="41">
        <v>1</v>
      </c>
      <c r="I14" s="41">
        <v>2</v>
      </c>
      <c r="J14" s="42"/>
      <c r="K14" s="37">
        <v>1</v>
      </c>
      <c r="L14" s="39"/>
      <c r="M14" s="40">
        <v>8482</v>
      </c>
      <c r="N14" s="39"/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9"/>
      <c r="U14" s="35">
        <v>0</v>
      </c>
      <c r="V14" s="35">
        <v>0</v>
      </c>
      <c r="W14" s="35">
        <v>0</v>
      </c>
    </row>
    <row r="15" spans="1:23" ht="27" customHeight="1" x14ac:dyDescent="0.25">
      <c r="A15" s="36" t="s">
        <v>72</v>
      </c>
      <c r="B15" s="36" t="s">
        <v>73</v>
      </c>
      <c r="C15" s="37">
        <v>1</v>
      </c>
      <c r="D15" s="37">
        <v>1</v>
      </c>
      <c r="E15" s="38"/>
      <c r="F15" s="38"/>
      <c r="G15" s="38"/>
      <c r="H15" s="37">
        <v>1</v>
      </c>
      <c r="I15" s="37">
        <v>4</v>
      </c>
      <c r="J15" s="38"/>
      <c r="K15" s="37">
        <v>1</v>
      </c>
      <c r="L15" s="39"/>
      <c r="M15" s="40">
        <v>41633</v>
      </c>
      <c r="N15" s="39"/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9"/>
      <c r="U15" s="35">
        <v>0</v>
      </c>
      <c r="V15" s="35">
        <v>0</v>
      </c>
      <c r="W15" s="35">
        <v>0</v>
      </c>
    </row>
    <row r="16" spans="1:23" ht="27" customHeight="1" x14ac:dyDescent="0.25">
      <c r="A16" s="36" t="s">
        <v>74</v>
      </c>
      <c r="B16" s="36" t="s">
        <v>75</v>
      </c>
      <c r="C16" s="37">
        <v>1</v>
      </c>
      <c r="D16" s="37">
        <v>2</v>
      </c>
      <c r="E16" s="38"/>
      <c r="F16" s="38"/>
      <c r="G16" s="38"/>
      <c r="H16" s="37">
        <v>2</v>
      </c>
      <c r="I16" s="37">
        <v>5</v>
      </c>
      <c r="J16" s="38"/>
      <c r="K16" s="37">
        <v>1</v>
      </c>
      <c r="L16" s="39"/>
      <c r="M16" s="40">
        <v>111356</v>
      </c>
      <c r="N16" s="39"/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9"/>
      <c r="U16" s="35">
        <v>0</v>
      </c>
      <c r="V16" s="35">
        <v>0</v>
      </c>
      <c r="W16" s="35">
        <v>0</v>
      </c>
    </row>
    <row r="17" spans="1:23" ht="27" customHeight="1" x14ac:dyDescent="0.25">
      <c r="A17" s="36" t="s">
        <v>76</v>
      </c>
      <c r="B17" s="36" t="s">
        <v>77</v>
      </c>
      <c r="C17" s="37">
        <v>1</v>
      </c>
      <c r="D17" s="37">
        <v>1</v>
      </c>
      <c r="E17" s="38"/>
      <c r="F17" s="37">
        <v>1</v>
      </c>
      <c r="G17" s="38"/>
      <c r="H17" s="37">
        <v>1</v>
      </c>
      <c r="I17" s="37">
        <v>4</v>
      </c>
      <c r="J17" s="38"/>
      <c r="K17" s="37">
        <v>1</v>
      </c>
      <c r="L17" s="39"/>
      <c r="M17" s="40">
        <v>27581</v>
      </c>
      <c r="N17" s="39"/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9"/>
      <c r="U17" s="35">
        <v>0</v>
      </c>
      <c r="V17" s="35">
        <v>0</v>
      </c>
      <c r="W17" s="35">
        <v>0</v>
      </c>
    </row>
    <row r="18" spans="1:23" ht="27" customHeight="1" x14ac:dyDescent="0.25">
      <c r="A18" s="36" t="s">
        <v>78</v>
      </c>
      <c r="B18" s="36" t="s">
        <v>79</v>
      </c>
      <c r="C18" s="37">
        <v>3</v>
      </c>
      <c r="D18" s="37">
        <v>4</v>
      </c>
      <c r="E18" s="38"/>
      <c r="F18" s="38"/>
      <c r="G18" s="38"/>
      <c r="H18" s="37">
        <v>4</v>
      </c>
      <c r="I18" s="37">
        <v>12</v>
      </c>
      <c r="J18" s="38"/>
      <c r="K18" s="37">
        <v>3</v>
      </c>
      <c r="L18" s="39"/>
      <c r="M18" s="40">
        <v>241486</v>
      </c>
      <c r="N18" s="39"/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9"/>
      <c r="U18" s="35">
        <v>0</v>
      </c>
      <c r="V18" s="35">
        <v>0</v>
      </c>
      <c r="W18" s="35">
        <v>0</v>
      </c>
    </row>
    <row r="19" spans="1:23" ht="27" customHeight="1" x14ac:dyDescent="0.25">
      <c r="A19" s="36" t="s">
        <v>80</v>
      </c>
      <c r="B19" s="36" t="s">
        <v>81</v>
      </c>
      <c r="C19" s="37">
        <v>1</v>
      </c>
      <c r="D19" s="37">
        <v>6</v>
      </c>
      <c r="E19" s="38"/>
      <c r="F19" s="37">
        <v>1</v>
      </c>
      <c r="G19" s="38"/>
      <c r="H19" s="37">
        <v>6</v>
      </c>
      <c r="I19" s="37">
        <v>10</v>
      </c>
      <c r="J19" s="38"/>
      <c r="K19" s="37">
        <v>1</v>
      </c>
      <c r="L19" s="39"/>
      <c r="M19" s="40">
        <v>109073</v>
      </c>
      <c r="N19" s="39"/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9"/>
      <c r="U19" s="35">
        <v>0</v>
      </c>
      <c r="V19" s="35">
        <v>0</v>
      </c>
      <c r="W19" s="35">
        <v>0</v>
      </c>
    </row>
    <row r="20" spans="1:23" ht="27" customHeight="1" x14ac:dyDescent="0.25">
      <c r="A20" s="36" t="s">
        <v>82</v>
      </c>
      <c r="B20" s="36" t="s">
        <v>83</v>
      </c>
      <c r="C20" s="37">
        <v>1</v>
      </c>
      <c r="D20" s="37">
        <v>2</v>
      </c>
      <c r="E20" s="38"/>
      <c r="F20" s="38"/>
      <c r="G20" s="38"/>
      <c r="H20" s="37">
        <v>2</v>
      </c>
      <c r="I20" s="37">
        <v>7</v>
      </c>
      <c r="J20" s="38"/>
      <c r="K20" s="37">
        <v>1</v>
      </c>
      <c r="L20" s="39"/>
      <c r="M20" s="40">
        <v>194699</v>
      </c>
      <c r="N20" s="39"/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9"/>
      <c r="U20" s="35">
        <v>0</v>
      </c>
      <c r="V20" s="35">
        <v>0</v>
      </c>
      <c r="W20" s="35">
        <v>0</v>
      </c>
    </row>
    <row r="21" spans="1:23" ht="27" customHeight="1" x14ac:dyDescent="0.25">
      <c r="A21" s="36" t="s">
        <v>84</v>
      </c>
      <c r="B21" s="36" t="s">
        <v>85</v>
      </c>
      <c r="C21" s="37">
        <v>1</v>
      </c>
      <c r="D21" s="37">
        <v>2</v>
      </c>
      <c r="E21" s="38"/>
      <c r="F21" s="38"/>
      <c r="G21" s="38"/>
      <c r="H21" s="37">
        <v>2</v>
      </c>
      <c r="I21" s="37">
        <v>5</v>
      </c>
      <c r="J21" s="38"/>
      <c r="K21" s="37">
        <v>1</v>
      </c>
      <c r="L21" s="39"/>
      <c r="M21" s="40">
        <v>117796</v>
      </c>
      <c r="N21" s="39"/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9"/>
      <c r="U21" s="35">
        <v>0</v>
      </c>
      <c r="V21" s="35">
        <v>0</v>
      </c>
      <c r="W21" s="35">
        <v>0</v>
      </c>
    </row>
    <row r="22" spans="1:23" ht="27" customHeight="1" x14ac:dyDescent="0.25">
      <c r="A22" s="36" t="s">
        <v>86</v>
      </c>
      <c r="B22" s="36" t="s">
        <v>87</v>
      </c>
      <c r="C22" s="37">
        <v>1</v>
      </c>
      <c r="D22" s="37">
        <v>1</v>
      </c>
      <c r="E22" s="38"/>
      <c r="F22" s="38"/>
      <c r="G22" s="38"/>
      <c r="H22" s="37">
        <v>1</v>
      </c>
      <c r="I22" s="37">
        <v>4</v>
      </c>
      <c r="J22" s="38"/>
      <c r="K22" s="37">
        <v>1</v>
      </c>
      <c r="L22" s="39"/>
      <c r="M22" s="40">
        <v>68787</v>
      </c>
      <c r="N22" s="39"/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9"/>
      <c r="U22" s="35">
        <v>0</v>
      </c>
      <c r="V22" s="35">
        <v>0</v>
      </c>
      <c r="W22" s="35">
        <v>0</v>
      </c>
    </row>
    <row r="23" spans="1:23" ht="27" customHeight="1" x14ac:dyDescent="0.25">
      <c r="A23" s="36" t="s">
        <v>88</v>
      </c>
      <c r="B23" s="36" t="s">
        <v>89</v>
      </c>
      <c r="C23" s="37">
        <v>1</v>
      </c>
      <c r="D23" s="37">
        <v>2</v>
      </c>
      <c r="E23" s="38"/>
      <c r="F23" s="38"/>
      <c r="G23" s="38"/>
      <c r="H23" s="37">
        <v>2</v>
      </c>
      <c r="I23" s="37">
        <v>5</v>
      </c>
      <c r="J23" s="38"/>
      <c r="K23" s="37">
        <v>1</v>
      </c>
      <c r="L23" s="39"/>
      <c r="M23" s="40">
        <v>52690</v>
      </c>
      <c r="N23" s="39"/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9"/>
      <c r="U23" s="35">
        <v>0</v>
      </c>
      <c r="V23" s="35">
        <v>0</v>
      </c>
      <c r="W23" s="35">
        <v>0</v>
      </c>
    </row>
    <row r="24" spans="1:23" ht="27" customHeight="1" x14ac:dyDescent="0.25">
      <c r="A24" s="36" t="s">
        <v>90</v>
      </c>
      <c r="B24" s="36" t="s">
        <v>91</v>
      </c>
      <c r="C24" s="37">
        <v>1</v>
      </c>
      <c r="D24" s="37">
        <v>2</v>
      </c>
      <c r="E24" s="38"/>
      <c r="F24" s="38"/>
      <c r="G24" s="38"/>
      <c r="H24" s="37">
        <v>2</v>
      </c>
      <c r="I24" s="37">
        <v>4</v>
      </c>
      <c r="J24" s="38"/>
      <c r="K24" s="37">
        <v>1</v>
      </c>
      <c r="L24" s="39"/>
      <c r="M24" s="40">
        <v>58985</v>
      </c>
      <c r="N24" s="39"/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9"/>
      <c r="U24" s="35">
        <v>0</v>
      </c>
      <c r="V24" s="35">
        <v>0</v>
      </c>
      <c r="W24" s="35">
        <v>0</v>
      </c>
    </row>
    <row r="25" spans="1:23" ht="27" customHeight="1" x14ac:dyDescent="0.25">
      <c r="A25" s="36" t="s">
        <v>92</v>
      </c>
      <c r="B25" s="36" t="s">
        <v>93</v>
      </c>
      <c r="C25" s="37">
        <v>1</v>
      </c>
      <c r="D25" s="37">
        <v>1</v>
      </c>
      <c r="E25" s="38"/>
      <c r="F25" s="38"/>
      <c r="G25" s="38"/>
      <c r="H25" s="37">
        <v>1</v>
      </c>
      <c r="I25" s="37">
        <v>4</v>
      </c>
      <c r="J25" s="38"/>
      <c r="K25" s="37">
        <v>1</v>
      </c>
      <c r="L25" s="39"/>
      <c r="M25" s="40">
        <v>128268</v>
      </c>
      <c r="N25" s="39"/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9"/>
      <c r="U25" s="35">
        <v>0</v>
      </c>
      <c r="V25" s="35">
        <v>0</v>
      </c>
      <c r="W25" s="35">
        <v>0</v>
      </c>
    </row>
    <row r="26" spans="1:23" ht="27" customHeight="1" x14ac:dyDescent="0.25">
      <c r="A26" s="36" t="s">
        <v>94</v>
      </c>
      <c r="B26" s="36" t="s">
        <v>95</v>
      </c>
      <c r="C26" s="37">
        <v>1</v>
      </c>
      <c r="D26" s="37">
        <v>2</v>
      </c>
      <c r="E26" s="38"/>
      <c r="F26" s="37">
        <v>1</v>
      </c>
      <c r="G26" s="38"/>
      <c r="H26" s="37">
        <v>2</v>
      </c>
      <c r="I26" s="37">
        <v>5</v>
      </c>
      <c r="J26" s="38"/>
      <c r="K26" s="37">
        <v>1</v>
      </c>
      <c r="L26" s="39"/>
      <c r="M26" s="40">
        <v>59525</v>
      </c>
      <c r="N26" s="39"/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9"/>
      <c r="U26" s="35">
        <v>0</v>
      </c>
      <c r="V26" s="35">
        <v>0</v>
      </c>
      <c r="W26" s="35">
        <v>0</v>
      </c>
    </row>
    <row r="27" spans="1:23" ht="27" customHeight="1" x14ac:dyDescent="0.25">
      <c r="A27" s="36" t="s">
        <v>96</v>
      </c>
      <c r="B27" s="36" t="s">
        <v>97</v>
      </c>
      <c r="C27" s="37">
        <v>1</v>
      </c>
      <c r="D27" s="37">
        <v>6</v>
      </c>
      <c r="E27" s="37">
        <v>1</v>
      </c>
      <c r="F27" s="38"/>
      <c r="G27" s="38"/>
      <c r="H27" s="37">
        <v>8</v>
      </c>
      <c r="I27" s="37">
        <v>11</v>
      </c>
      <c r="J27" s="38"/>
      <c r="K27" s="37">
        <v>1</v>
      </c>
      <c r="L27" s="39"/>
      <c r="M27" s="40">
        <v>129318</v>
      </c>
      <c r="N27" s="39"/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9"/>
      <c r="U27" s="35">
        <v>0</v>
      </c>
      <c r="V27" s="35">
        <v>0</v>
      </c>
      <c r="W27" s="35">
        <v>0</v>
      </c>
    </row>
    <row r="28" spans="1:23" ht="27" customHeight="1" x14ac:dyDescent="0.25">
      <c r="A28" s="36" t="s">
        <v>98</v>
      </c>
      <c r="B28" s="36" t="s">
        <v>99</v>
      </c>
      <c r="C28" s="37">
        <v>1</v>
      </c>
      <c r="D28" s="37">
        <v>1</v>
      </c>
      <c r="E28" s="38"/>
      <c r="F28" s="38"/>
      <c r="G28" s="38"/>
      <c r="H28" s="37">
        <v>1</v>
      </c>
      <c r="I28" s="37">
        <v>3</v>
      </c>
      <c r="J28" s="38"/>
      <c r="K28" s="37">
        <v>1</v>
      </c>
      <c r="L28" s="39"/>
      <c r="M28" s="40">
        <v>73419</v>
      </c>
      <c r="N28" s="39"/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9"/>
      <c r="U28" s="35">
        <v>0</v>
      </c>
      <c r="V28" s="35">
        <v>0</v>
      </c>
      <c r="W28" s="35">
        <v>0</v>
      </c>
    </row>
    <row r="29" spans="1:23" ht="27" customHeight="1" x14ac:dyDescent="0.25">
      <c r="A29" s="36" t="s">
        <v>100</v>
      </c>
      <c r="B29" s="36" t="s">
        <v>101</v>
      </c>
      <c r="C29" s="37">
        <v>1</v>
      </c>
      <c r="D29" s="37">
        <v>3</v>
      </c>
      <c r="E29" s="38"/>
      <c r="F29" s="38"/>
      <c r="G29" s="38"/>
      <c r="H29" s="37">
        <v>3</v>
      </c>
      <c r="I29" s="37">
        <v>6</v>
      </c>
      <c r="J29" s="38"/>
      <c r="K29" s="37">
        <v>1</v>
      </c>
      <c r="L29" s="39"/>
      <c r="M29" s="40">
        <v>62246</v>
      </c>
      <c r="N29" s="39"/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9"/>
      <c r="U29" s="35">
        <v>0</v>
      </c>
      <c r="V29" s="35">
        <v>0</v>
      </c>
      <c r="W29" s="35">
        <v>0</v>
      </c>
    </row>
    <row r="30" spans="1:23" ht="27" customHeight="1" x14ac:dyDescent="0.25">
      <c r="A30" s="36" t="s">
        <v>102</v>
      </c>
      <c r="B30" s="36" t="s">
        <v>103</v>
      </c>
      <c r="C30" s="37">
        <v>1</v>
      </c>
      <c r="D30" s="37">
        <v>6</v>
      </c>
      <c r="E30" s="38"/>
      <c r="F30" s="38"/>
      <c r="G30" s="38"/>
      <c r="H30" s="37">
        <v>6</v>
      </c>
      <c r="I30" s="37">
        <v>8</v>
      </c>
      <c r="J30" s="38"/>
      <c r="K30" s="37">
        <v>1</v>
      </c>
      <c r="L30" s="39"/>
      <c r="M30" s="40">
        <v>264007</v>
      </c>
      <c r="N30" s="39"/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9"/>
      <c r="U30" s="35">
        <v>0</v>
      </c>
      <c r="V30" s="35">
        <v>0</v>
      </c>
      <c r="W30" s="35">
        <v>0</v>
      </c>
    </row>
    <row r="31" spans="1:23" ht="27" customHeight="1" x14ac:dyDescent="0.25">
      <c r="A31" s="36" t="s">
        <v>104</v>
      </c>
      <c r="B31" s="36" t="s">
        <v>105</v>
      </c>
      <c r="C31" s="37">
        <v>1</v>
      </c>
      <c r="D31" s="37">
        <v>2</v>
      </c>
      <c r="E31" s="38"/>
      <c r="F31" s="38"/>
      <c r="G31" s="38"/>
      <c r="H31" s="37">
        <v>2</v>
      </c>
      <c r="I31" s="37">
        <v>4</v>
      </c>
      <c r="J31" s="38"/>
      <c r="K31" s="37">
        <v>1</v>
      </c>
      <c r="L31" s="39"/>
      <c r="M31" s="40">
        <v>61486</v>
      </c>
      <c r="N31" s="39"/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9"/>
      <c r="U31" s="35">
        <v>0</v>
      </c>
      <c r="V31" s="35">
        <v>0</v>
      </c>
      <c r="W31" s="35">
        <v>0</v>
      </c>
    </row>
    <row r="32" spans="1:23" ht="27" customHeight="1" x14ac:dyDescent="0.25">
      <c r="A32" s="36" t="s">
        <v>106</v>
      </c>
      <c r="B32" s="36" t="s">
        <v>107</v>
      </c>
      <c r="C32" s="37">
        <v>1</v>
      </c>
      <c r="D32" s="37">
        <v>2</v>
      </c>
      <c r="E32" s="38"/>
      <c r="F32" s="38"/>
      <c r="G32" s="38"/>
      <c r="H32" s="37">
        <v>2</v>
      </c>
      <c r="I32" s="37">
        <v>4</v>
      </c>
      <c r="J32" s="38"/>
      <c r="K32" s="37">
        <v>1</v>
      </c>
      <c r="L32" s="39"/>
      <c r="M32" s="40">
        <v>43882</v>
      </c>
      <c r="N32" s="39"/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9"/>
      <c r="U32" s="35">
        <v>0</v>
      </c>
      <c r="V32" s="35">
        <v>0</v>
      </c>
      <c r="W32" s="35">
        <v>0</v>
      </c>
    </row>
    <row r="33" spans="1:23" ht="27" customHeight="1" x14ac:dyDescent="0.25">
      <c r="A33" s="36" t="s">
        <v>108</v>
      </c>
      <c r="B33" s="36" t="s">
        <v>109</v>
      </c>
      <c r="C33" s="37">
        <v>1</v>
      </c>
      <c r="D33" s="37">
        <v>2</v>
      </c>
      <c r="E33" s="38"/>
      <c r="F33" s="38"/>
      <c r="G33" s="38"/>
      <c r="H33" s="37">
        <v>2</v>
      </c>
      <c r="I33" s="37">
        <v>4</v>
      </c>
      <c r="J33" s="38"/>
      <c r="K33" s="37">
        <v>1</v>
      </c>
      <c r="L33" s="39"/>
      <c r="M33" s="40">
        <v>76021</v>
      </c>
      <c r="N33" s="39"/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9"/>
      <c r="U33" s="35">
        <v>0</v>
      </c>
      <c r="V33" s="35">
        <v>0</v>
      </c>
      <c r="W33" s="35">
        <v>0</v>
      </c>
    </row>
    <row r="34" spans="1:23" ht="27" customHeight="1" x14ac:dyDescent="0.25">
      <c r="A34" s="36" t="s">
        <v>110</v>
      </c>
      <c r="B34" s="36" t="s">
        <v>111</v>
      </c>
      <c r="C34" s="37">
        <v>1</v>
      </c>
      <c r="D34" s="37">
        <v>1</v>
      </c>
      <c r="E34" s="38"/>
      <c r="F34" s="38"/>
      <c r="G34" s="38"/>
      <c r="H34" s="41">
        <v>1</v>
      </c>
      <c r="I34" s="41">
        <v>2</v>
      </c>
      <c r="J34" s="38"/>
      <c r="K34" s="37">
        <v>1</v>
      </c>
      <c r="L34" s="39"/>
      <c r="M34" s="40">
        <v>14791</v>
      </c>
      <c r="N34" s="39"/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9"/>
      <c r="U34" s="35">
        <v>0</v>
      </c>
      <c r="V34" s="35">
        <v>0</v>
      </c>
      <c r="W34" s="35">
        <v>0</v>
      </c>
    </row>
    <row r="35" spans="1:23" ht="27" customHeight="1" x14ac:dyDescent="0.25">
      <c r="A35" s="36" t="s">
        <v>112</v>
      </c>
      <c r="B35" s="36" t="s">
        <v>113</v>
      </c>
      <c r="C35" s="37">
        <v>1</v>
      </c>
      <c r="D35" s="37">
        <v>2</v>
      </c>
      <c r="E35" s="38"/>
      <c r="F35" s="37">
        <v>1</v>
      </c>
      <c r="G35" s="38"/>
      <c r="H35" s="37">
        <v>2</v>
      </c>
      <c r="I35" s="37">
        <v>5</v>
      </c>
      <c r="J35" s="38"/>
      <c r="K35" s="37">
        <v>1</v>
      </c>
      <c r="L35" s="39"/>
      <c r="M35" s="40">
        <v>60797</v>
      </c>
      <c r="N35" s="39"/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9"/>
      <c r="U35" s="35">
        <v>0</v>
      </c>
      <c r="V35" s="35">
        <v>0</v>
      </c>
      <c r="W35" s="35">
        <v>0</v>
      </c>
    </row>
    <row r="36" spans="1:23" ht="27" customHeight="1" x14ac:dyDescent="0.25">
      <c r="A36" s="36" t="s">
        <v>114</v>
      </c>
      <c r="B36" s="36" t="s">
        <v>115</v>
      </c>
      <c r="C36" s="37">
        <v>1</v>
      </c>
      <c r="D36" s="37">
        <v>1</v>
      </c>
      <c r="E36" s="38"/>
      <c r="F36" s="38"/>
      <c r="G36" s="38"/>
      <c r="H36" s="37">
        <v>1</v>
      </c>
      <c r="I36" s="37">
        <v>2</v>
      </c>
      <c r="J36" s="38"/>
      <c r="K36" s="37">
        <v>1</v>
      </c>
      <c r="L36" s="39"/>
      <c r="M36" s="40">
        <v>52009</v>
      </c>
      <c r="N36" s="39"/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9"/>
      <c r="U36" s="35">
        <v>0</v>
      </c>
      <c r="V36" s="35">
        <v>0</v>
      </c>
      <c r="W36" s="35">
        <v>0</v>
      </c>
    </row>
    <row r="37" spans="1:23" ht="27" customHeight="1" x14ac:dyDescent="0.25">
      <c r="A37" s="36" t="s">
        <v>116</v>
      </c>
      <c r="B37" s="36" t="s">
        <v>117</v>
      </c>
      <c r="C37" s="37">
        <v>1</v>
      </c>
      <c r="D37" s="37">
        <v>2</v>
      </c>
      <c r="E37" s="38"/>
      <c r="F37" s="38"/>
      <c r="G37" s="38"/>
      <c r="H37" s="37">
        <v>2</v>
      </c>
      <c r="I37" s="37">
        <v>4</v>
      </c>
      <c r="J37" s="38"/>
      <c r="K37" s="37">
        <v>1</v>
      </c>
      <c r="L37" s="39"/>
      <c r="M37" s="40">
        <v>57659</v>
      </c>
      <c r="N37" s="39"/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9"/>
      <c r="U37" s="35">
        <v>0</v>
      </c>
      <c r="V37" s="35">
        <v>0</v>
      </c>
      <c r="W37" s="35">
        <v>0</v>
      </c>
    </row>
    <row r="38" spans="1:23" ht="27" customHeight="1" x14ac:dyDescent="0.25">
      <c r="A38" s="36" t="s">
        <v>118</v>
      </c>
      <c r="B38" s="36" t="s">
        <v>119</v>
      </c>
      <c r="C38" s="37">
        <v>1</v>
      </c>
      <c r="D38" s="37">
        <v>2</v>
      </c>
      <c r="E38" s="38"/>
      <c r="F38" s="38"/>
      <c r="G38" s="38"/>
      <c r="H38" s="37">
        <v>2</v>
      </c>
      <c r="I38" s="37">
        <v>4</v>
      </c>
      <c r="J38" s="38"/>
      <c r="K38" s="37">
        <v>1</v>
      </c>
      <c r="L38" s="39"/>
      <c r="M38" s="40">
        <v>60773</v>
      </c>
      <c r="N38" s="39"/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9"/>
      <c r="U38" s="35">
        <v>0</v>
      </c>
      <c r="V38" s="35">
        <v>0</v>
      </c>
      <c r="W38" s="35">
        <v>0</v>
      </c>
    </row>
    <row r="39" spans="1:23" ht="27" customHeight="1" x14ac:dyDescent="0.25">
      <c r="A39" s="36" t="s">
        <v>120</v>
      </c>
      <c r="B39" s="36" t="s">
        <v>121</v>
      </c>
      <c r="C39" s="37">
        <v>1</v>
      </c>
      <c r="D39" s="37">
        <v>2</v>
      </c>
      <c r="E39" s="38"/>
      <c r="F39" s="38"/>
      <c r="G39" s="38"/>
      <c r="H39" s="37">
        <v>2</v>
      </c>
      <c r="I39" s="37">
        <v>4</v>
      </c>
      <c r="J39" s="38"/>
      <c r="K39" s="37">
        <v>1</v>
      </c>
      <c r="L39" s="39"/>
      <c r="M39" s="40">
        <v>63022</v>
      </c>
      <c r="N39" s="39"/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9"/>
      <c r="U39" s="35">
        <v>0</v>
      </c>
      <c r="V39" s="35">
        <v>0</v>
      </c>
      <c r="W39" s="35">
        <v>0</v>
      </c>
    </row>
    <row r="40" spans="1:23" ht="27" customHeight="1" x14ac:dyDescent="0.25">
      <c r="A40" s="36" t="s">
        <v>122</v>
      </c>
      <c r="B40" s="36" t="s">
        <v>123</v>
      </c>
      <c r="C40" s="37">
        <v>1</v>
      </c>
      <c r="D40" s="37">
        <v>3</v>
      </c>
      <c r="E40" s="38"/>
      <c r="F40" s="37">
        <v>1</v>
      </c>
      <c r="G40" s="38"/>
      <c r="H40" s="37">
        <v>3</v>
      </c>
      <c r="I40" s="37">
        <v>7</v>
      </c>
      <c r="J40" s="38"/>
      <c r="K40" s="37">
        <v>1</v>
      </c>
      <c r="L40" s="39"/>
      <c r="M40" s="40">
        <v>101483</v>
      </c>
      <c r="N40" s="39"/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9"/>
      <c r="U40" s="35">
        <v>0</v>
      </c>
      <c r="V40" s="35">
        <v>0</v>
      </c>
      <c r="W40" s="35">
        <v>0</v>
      </c>
    </row>
    <row r="41" spans="1:23" ht="27" customHeight="1" x14ac:dyDescent="0.25">
      <c r="A41" s="36" t="s">
        <v>124</v>
      </c>
      <c r="B41" s="36" t="s">
        <v>125</v>
      </c>
      <c r="C41" s="37">
        <v>1</v>
      </c>
      <c r="D41" s="37">
        <v>2</v>
      </c>
      <c r="E41" s="38"/>
      <c r="F41" s="38"/>
      <c r="G41" s="38"/>
      <c r="H41" s="37">
        <v>2</v>
      </c>
      <c r="I41" s="37">
        <v>5</v>
      </c>
      <c r="J41" s="38"/>
      <c r="K41" s="37">
        <v>1</v>
      </c>
      <c r="L41" s="39"/>
      <c r="M41" s="40">
        <v>103646</v>
      </c>
      <c r="N41" s="39"/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9"/>
      <c r="U41" s="35">
        <v>0</v>
      </c>
      <c r="V41" s="35">
        <v>0</v>
      </c>
      <c r="W41" s="35">
        <v>0</v>
      </c>
    </row>
    <row r="42" spans="1:23" ht="27" customHeight="1" x14ac:dyDescent="0.25">
      <c r="A42" s="36" t="s">
        <v>126</v>
      </c>
      <c r="B42" s="36" t="s">
        <v>127</v>
      </c>
      <c r="C42" s="37">
        <v>1</v>
      </c>
      <c r="D42" s="37">
        <v>1</v>
      </c>
      <c r="E42" s="38"/>
      <c r="F42" s="37">
        <v>1</v>
      </c>
      <c r="G42" s="38"/>
      <c r="H42" s="37">
        <v>1</v>
      </c>
      <c r="I42" s="37">
        <v>4</v>
      </c>
      <c r="J42" s="38"/>
      <c r="K42" s="37">
        <v>1</v>
      </c>
      <c r="L42" s="39"/>
      <c r="M42" s="40">
        <v>21387</v>
      </c>
      <c r="N42" s="39"/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9"/>
      <c r="U42" s="35">
        <v>0</v>
      </c>
      <c r="V42" s="35">
        <v>0</v>
      </c>
      <c r="W42" s="35">
        <v>0</v>
      </c>
    </row>
    <row r="43" spans="1:23" ht="27" customHeight="1" x14ac:dyDescent="0.25">
      <c r="A43" s="36" t="s">
        <v>128</v>
      </c>
      <c r="B43" s="36" t="s">
        <v>129</v>
      </c>
      <c r="C43" s="37">
        <v>1</v>
      </c>
      <c r="D43" s="37">
        <v>6</v>
      </c>
      <c r="E43" s="38"/>
      <c r="F43" s="38"/>
      <c r="G43" s="38"/>
      <c r="H43" s="37">
        <v>6</v>
      </c>
      <c r="I43" s="37">
        <v>9</v>
      </c>
      <c r="J43" s="38"/>
      <c r="K43" s="37">
        <v>1</v>
      </c>
      <c r="L43" s="39"/>
      <c r="M43" s="40">
        <v>105173</v>
      </c>
      <c r="N43" s="39"/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9"/>
      <c r="U43" s="35">
        <v>0</v>
      </c>
      <c r="V43" s="35">
        <v>0</v>
      </c>
      <c r="W43" s="35">
        <v>0</v>
      </c>
    </row>
    <row r="44" spans="1:23" ht="27" customHeight="1" x14ac:dyDescent="0.25">
      <c r="A44" s="36" t="s">
        <v>130</v>
      </c>
      <c r="B44" s="36" t="s">
        <v>131</v>
      </c>
      <c r="C44" s="37">
        <v>1</v>
      </c>
      <c r="D44" s="37">
        <v>3</v>
      </c>
      <c r="E44" s="38"/>
      <c r="F44" s="38"/>
      <c r="G44" s="38"/>
      <c r="H44" s="37">
        <v>3</v>
      </c>
      <c r="I44" s="37">
        <v>7</v>
      </c>
      <c r="J44" s="38"/>
      <c r="K44" s="37">
        <v>1</v>
      </c>
      <c r="L44" s="39"/>
      <c r="M44" s="40">
        <v>241819</v>
      </c>
      <c r="N44" s="39"/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9"/>
      <c r="U44" s="35">
        <v>0</v>
      </c>
      <c r="V44" s="35">
        <v>0</v>
      </c>
      <c r="W44" s="35">
        <v>0</v>
      </c>
    </row>
    <row r="45" spans="1:23" ht="27" customHeight="1" x14ac:dyDescent="0.25">
      <c r="A45" s="36" t="s">
        <v>132</v>
      </c>
      <c r="B45" s="36" t="s">
        <v>133</v>
      </c>
      <c r="C45" s="37">
        <v>1</v>
      </c>
      <c r="D45" s="37">
        <v>3</v>
      </c>
      <c r="E45" s="38"/>
      <c r="F45" s="38"/>
      <c r="G45" s="38"/>
      <c r="H45" s="37">
        <v>3</v>
      </c>
      <c r="I45" s="37">
        <v>5</v>
      </c>
      <c r="J45" s="38"/>
      <c r="K45" s="37">
        <v>1</v>
      </c>
      <c r="L45" s="39"/>
      <c r="M45" s="40">
        <v>114482</v>
      </c>
      <c r="N45" s="39"/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9"/>
      <c r="U45" s="35">
        <v>0</v>
      </c>
      <c r="V45" s="35">
        <v>0</v>
      </c>
      <c r="W45" s="35">
        <v>0</v>
      </c>
    </row>
    <row r="46" spans="1:23" ht="27" customHeight="1" x14ac:dyDescent="0.25">
      <c r="A46" s="36" t="s">
        <v>134</v>
      </c>
      <c r="B46" s="36" t="s">
        <v>135</v>
      </c>
      <c r="C46" s="37">
        <v>1</v>
      </c>
      <c r="D46" s="37">
        <v>1</v>
      </c>
      <c r="E46" s="38"/>
      <c r="F46" s="38"/>
      <c r="G46" s="38"/>
      <c r="H46" s="37">
        <v>1</v>
      </c>
      <c r="I46" s="37">
        <v>4</v>
      </c>
      <c r="J46" s="38"/>
      <c r="K46" s="37">
        <v>1</v>
      </c>
      <c r="L46" s="39"/>
      <c r="M46" s="40">
        <v>61470</v>
      </c>
      <c r="N46" s="39"/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9"/>
      <c r="U46" s="35">
        <v>0</v>
      </c>
      <c r="V46" s="35">
        <v>0</v>
      </c>
      <c r="W46" s="35">
        <v>0</v>
      </c>
    </row>
    <row r="47" spans="1:23" ht="27" customHeight="1" x14ac:dyDescent="0.25">
      <c r="A47" s="36" t="s">
        <v>136</v>
      </c>
      <c r="B47" s="36" t="s">
        <v>137</v>
      </c>
      <c r="C47" s="37">
        <v>1</v>
      </c>
      <c r="D47" s="37">
        <v>1</v>
      </c>
      <c r="E47" s="38"/>
      <c r="F47" s="38"/>
      <c r="G47" s="38"/>
      <c r="H47" s="42"/>
      <c r="I47" s="42"/>
      <c r="J47" s="42"/>
      <c r="K47" s="37">
        <v>1</v>
      </c>
      <c r="L47" s="39"/>
      <c r="M47" s="40">
        <v>93141.877299999993</v>
      </c>
      <c r="N47" s="39"/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9"/>
      <c r="U47" s="35">
        <v>0</v>
      </c>
      <c r="V47" s="35">
        <v>0</v>
      </c>
      <c r="W47" s="35">
        <v>0</v>
      </c>
    </row>
    <row r="48" spans="1:23" ht="27" customHeight="1" x14ac:dyDescent="0.25">
      <c r="A48" s="36" t="s">
        <v>138</v>
      </c>
      <c r="B48" s="36" t="s">
        <v>139</v>
      </c>
      <c r="C48" s="37">
        <v>1</v>
      </c>
      <c r="D48" s="37">
        <v>1</v>
      </c>
      <c r="E48" s="38"/>
      <c r="F48" s="37">
        <v>1</v>
      </c>
      <c r="G48" s="37">
        <v>1</v>
      </c>
      <c r="H48" s="42"/>
      <c r="I48" s="42"/>
      <c r="J48" s="42"/>
      <c r="K48" s="37">
        <v>1</v>
      </c>
      <c r="L48" s="39"/>
      <c r="M48" s="40">
        <v>74173</v>
      </c>
      <c r="N48" s="39"/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9"/>
      <c r="U48" s="35">
        <v>0</v>
      </c>
      <c r="V48" s="35">
        <v>0</v>
      </c>
      <c r="W48" s="35">
        <v>0</v>
      </c>
    </row>
    <row r="49" spans="1:23" ht="27" customHeight="1" x14ac:dyDescent="0.25">
      <c r="A49" s="36" t="s">
        <v>140</v>
      </c>
      <c r="B49" s="36" t="s">
        <v>141</v>
      </c>
      <c r="C49" s="37">
        <v>1</v>
      </c>
      <c r="D49" s="37">
        <v>1</v>
      </c>
      <c r="E49" s="38"/>
      <c r="F49" s="38"/>
      <c r="G49" s="38"/>
      <c r="H49" s="37">
        <v>1</v>
      </c>
      <c r="I49" s="37">
        <v>3</v>
      </c>
      <c r="J49" s="38"/>
      <c r="K49" s="37">
        <v>1</v>
      </c>
      <c r="L49" s="39"/>
      <c r="M49" s="40">
        <v>123958</v>
      </c>
      <c r="N49" s="39"/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9"/>
      <c r="U49" s="35">
        <v>0</v>
      </c>
      <c r="V49" s="35">
        <v>0</v>
      </c>
      <c r="W49" s="35">
        <v>0</v>
      </c>
    </row>
    <row r="50" spans="1:23" ht="27" customHeight="1" x14ac:dyDescent="0.25">
      <c r="A50" s="36" t="s">
        <v>142</v>
      </c>
      <c r="B50" s="36" t="s">
        <v>143</v>
      </c>
      <c r="C50" s="37">
        <v>1</v>
      </c>
      <c r="D50" s="37">
        <v>3</v>
      </c>
      <c r="E50" s="38"/>
      <c r="F50" s="38"/>
      <c r="G50" s="38"/>
      <c r="H50" s="37">
        <v>3</v>
      </c>
      <c r="I50" s="37">
        <v>7</v>
      </c>
      <c r="J50" s="38"/>
      <c r="K50" s="37">
        <v>1</v>
      </c>
      <c r="L50" s="39"/>
      <c r="M50" s="40">
        <v>98340</v>
      </c>
      <c r="N50" s="39"/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9"/>
      <c r="U50" s="35">
        <v>0</v>
      </c>
      <c r="V50" s="35">
        <v>0</v>
      </c>
      <c r="W50" s="35">
        <v>0</v>
      </c>
    </row>
    <row r="51" spans="1:23" ht="27" customHeight="1" x14ac:dyDescent="0.25">
      <c r="A51" s="36" t="s">
        <v>144</v>
      </c>
      <c r="B51" s="36" t="s">
        <v>145</v>
      </c>
      <c r="C51" s="37">
        <v>2</v>
      </c>
      <c r="D51" s="37">
        <v>2</v>
      </c>
      <c r="E51" s="38"/>
      <c r="F51" s="38"/>
      <c r="G51" s="38"/>
      <c r="H51" s="37">
        <v>2</v>
      </c>
      <c r="I51" s="37">
        <v>5</v>
      </c>
      <c r="J51" s="38"/>
      <c r="K51" s="37">
        <v>2</v>
      </c>
      <c r="L51" s="39"/>
      <c r="M51" s="40">
        <v>58746</v>
      </c>
      <c r="N51" s="39"/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9"/>
      <c r="U51" s="35">
        <v>0</v>
      </c>
      <c r="V51" s="35">
        <v>0</v>
      </c>
      <c r="W51" s="35">
        <v>0</v>
      </c>
    </row>
    <row r="52" spans="1:23" ht="27" customHeight="1" x14ac:dyDescent="0.25">
      <c r="A52" s="36" t="s">
        <v>146</v>
      </c>
      <c r="B52" s="36" t="s">
        <v>147</v>
      </c>
      <c r="C52" s="37">
        <v>1</v>
      </c>
      <c r="D52" s="37">
        <v>3</v>
      </c>
      <c r="E52" s="38"/>
      <c r="F52" s="38"/>
      <c r="G52" s="38"/>
      <c r="H52" s="37">
        <v>4</v>
      </c>
      <c r="I52" s="37">
        <v>7</v>
      </c>
      <c r="J52" s="38"/>
      <c r="K52" s="37">
        <v>1</v>
      </c>
      <c r="L52" s="39"/>
      <c r="M52" s="40">
        <v>65270</v>
      </c>
      <c r="N52" s="39"/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9"/>
      <c r="U52" s="35">
        <v>0</v>
      </c>
      <c r="V52" s="35">
        <v>0</v>
      </c>
      <c r="W52" s="35">
        <v>0</v>
      </c>
    </row>
    <row r="53" spans="1:23" ht="27" customHeight="1" x14ac:dyDescent="0.25">
      <c r="A53" s="36" t="s">
        <v>148</v>
      </c>
      <c r="B53" s="36" t="s">
        <v>77</v>
      </c>
      <c r="C53" s="37">
        <v>1</v>
      </c>
      <c r="D53" s="37">
        <v>1</v>
      </c>
      <c r="E53" s="38"/>
      <c r="F53" s="38"/>
      <c r="G53" s="38"/>
      <c r="H53" s="41">
        <v>1</v>
      </c>
      <c r="I53" s="41">
        <v>3</v>
      </c>
      <c r="J53" s="38"/>
      <c r="K53" s="37">
        <v>1</v>
      </c>
      <c r="L53" s="39"/>
      <c r="M53" s="40">
        <v>2776</v>
      </c>
      <c r="N53" s="39"/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9"/>
      <c r="U53" s="35">
        <v>0</v>
      </c>
      <c r="V53" s="35">
        <v>0</v>
      </c>
      <c r="W53" s="35">
        <v>0</v>
      </c>
    </row>
    <row r="54" spans="1:23" ht="27" customHeight="1" x14ac:dyDescent="0.25">
      <c r="A54" s="36" t="s">
        <v>149</v>
      </c>
      <c r="B54" s="36" t="s">
        <v>150</v>
      </c>
      <c r="C54" s="37">
        <v>1</v>
      </c>
      <c r="D54" s="37">
        <v>1</v>
      </c>
      <c r="E54" s="38"/>
      <c r="F54" s="37">
        <v>1</v>
      </c>
      <c r="G54" s="38"/>
      <c r="H54" s="37">
        <v>1</v>
      </c>
      <c r="I54" s="37">
        <v>4</v>
      </c>
      <c r="J54" s="38"/>
      <c r="K54" s="37">
        <v>1</v>
      </c>
      <c r="L54" s="39"/>
      <c r="M54" s="40">
        <v>68281</v>
      </c>
      <c r="N54" s="39"/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9"/>
      <c r="U54" s="35">
        <v>0</v>
      </c>
      <c r="V54" s="35">
        <v>0</v>
      </c>
      <c r="W54" s="35">
        <v>0</v>
      </c>
    </row>
    <row r="55" spans="1:23" ht="27" customHeight="1" x14ac:dyDescent="0.25">
      <c r="A55" s="36" t="s">
        <v>151</v>
      </c>
      <c r="B55" s="36" t="s">
        <v>152</v>
      </c>
      <c r="C55" s="43">
        <v>1</v>
      </c>
      <c r="D55" s="43">
        <v>1</v>
      </c>
      <c r="E55" s="43">
        <v>1</v>
      </c>
      <c r="F55" s="44"/>
      <c r="G55" s="44"/>
      <c r="H55" s="43">
        <v>1</v>
      </c>
      <c r="I55" s="43">
        <v>4</v>
      </c>
      <c r="J55" s="44"/>
      <c r="K55" s="43">
        <v>1</v>
      </c>
      <c r="L55" s="45"/>
      <c r="M55" s="46">
        <v>47613</v>
      </c>
      <c r="N55" s="45"/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45"/>
      <c r="U55" s="35">
        <v>0</v>
      </c>
      <c r="V55" s="35">
        <v>0</v>
      </c>
      <c r="W55" s="35">
        <v>0</v>
      </c>
    </row>
    <row r="56" spans="1:23" ht="27" customHeight="1" x14ac:dyDescent="0.25">
      <c r="A56" s="47" t="s">
        <v>153</v>
      </c>
      <c r="B56" s="48"/>
      <c r="C56" s="49">
        <f t="shared" ref="C56:K56" si="0">SUM(C6:C55)</f>
        <v>53</v>
      </c>
      <c r="D56" s="49">
        <f t="shared" si="0"/>
        <v>118</v>
      </c>
      <c r="E56" s="49">
        <f t="shared" si="0"/>
        <v>4</v>
      </c>
      <c r="F56" s="49">
        <f t="shared" si="0"/>
        <v>9</v>
      </c>
      <c r="G56" s="49">
        <f t="shared" si="0"/>
        <v>2</v>
      </c>
      <c r="H56" s="49">
        <f t="shared" si="0"/>
        <v>121</v>
      </c>
      <c r="I56" s="49">
        <f t="shared" si="0"/>
        <v>263</v>
      </c>
      <c r="J56" s="49">
        <f t="shared" si="0"/>
        <v>1</v>
      </c>
      <c r="K56" s="50">
        <f t="shared" si="0"/>
        <v>53</v>
      </c>
      <c r="L56" s="19"/>
      <c r="M56" s="51">
        <f>SUM(M6:M55)</f>
        <v>4476212.8772999998</v>
      </c>
      <c r="N56" s="19"/>
      <c r="O56" s="52">
        <f t="shared" ref="O56:S56" si="1">SUM(O6:O55)</f>
        <v>0</v>
      </c>
      <c r="P56" s="52">
        <f t="shared" si="1"/>
        <v>0</v>
      </c>
      <c r="Q56" s="52">
        <f t="shared" si="1"/>
        <v>0</v>
      </c>
      <c r="R56" s="52">
        <f t="shared" si="1"/>
        <v>0</v>
      </c>
      <c r="S56" s="52">
        <f t="shared" si="1"/>
        <v>0</v>
      </c>
      <c r="T56" s="19"/>
      <c r="U56" s="52">
        <f t="shared" ref="U56:W56" si="2">SUM(U6:U55)</f>
        <v>0</v>
      </c>
      <c r="V56" s="52">
        <f t="shared" si="2"/>
        <v>0</v>
      </c>
      <c r="W56" s="52">
        <f t="shared" si="2"/>
        <v>0</v>
      </c>
    </row>
    <row r="57" spans="1:2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5"/>
      <c r="P57" s="2"/>
      <c r="Q57" s="2"/>
      <c r="R57" s="2"/>
      <c r="S57" s="2"/>
      <c r="T57" s="2"/>
      <c r="U57" s="2"/>
      <c r="V57" s="2"/>
    </row>
    <row r="58" spans="1:23" ht="15.75" customHeight="1" x14ac:dyDescent="0.25">
      <c r="A58" s="54" t="s">
        <v>53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2"/>
      <c r="M58" s="2"/>
      <c r="N58" s="2"/>
      <c r="O58" s="5"/>
      <c r="P58" s="2"/>
      <c r="Q58" s="2"/>
      <c r="R58" s="2"/>
      <c r="S58" s="2"/>
      <c r="T58" s="2"/>
      <c r="U58" s="2"/>
      <c r="V58" s="2"/>
    </row>
    <row r="59" spans="1:23" ht="66.75" customHeight="1" x14ac:dyDescent="0.25">
      <c r="A59" s="56"/>
      <c r="B59" s="57"/>
      <c r="C59" s="57"/>
      <c r="D59" s="57"/>
      <c r="E59" s="57"/>
      <c r="F59" s="57"/>
      <c r="G59" s="57"/>
      <c r="H59" s="57"/>
      <c r="I59" s="57"/>
      <c r="J59" s="57"/>
      <c r="K59" s="58"/>
      <c r="L59" s="2"/>
      <c r="M59" s="2"/>
      <c r="N59" s="2"/>
      <c r="O59" s="5"/>
      <c r="P59" s="2"/>
      <c r="Q59" s="2"/>
      <c r="R59" s="2"/>
      <c r="S59" s="2"/>
      <c r="T59" s="2"/>
      <c r="U59" s="2"/>
      <c r="V59" s="2"/>
    </row>
    <row r="60" spans="1:2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5"/>
      <c r="P60" s="2"/>
      <c r="Q60" s="2"/>
      <c r="R60" s="2"/>
      <c r="S60" s="2"/>
      <c r="T60" s="2"/>
      <c r="U60" s="2"/>
      <c r="V60" s="2"/>
    </row>
    <row r="61" spans="1:23" ht="15.75" customHeight="1" x14ac:dyDescent="0.25">
      <c r="A61" s="54" t="s">
        <v>154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2"/>
      <c r="M61" s="2"/>
      <c r="N61" s="2"/>
      <c r="O61" s="5"/>
      <c r="P61" s="2"/>
      <c r="Q61" s="2"/>
      <c r="R61" s="2"/>
      <c r="S61" s="2"/>
      <c r="T61" s="2"/>
      <c r="U61" s="2"/>
      <c r="V61" s="2"/>
    </row>
    <row r="62" spans="1:23" ht="64.5" customHeight="1" x14ac:dyDescent="0.25">
      <c r="A62" s="56"/>
      <c r="B62" s="57"/>
      <c r="C62" s="57"/>
      <c r="D62" s="57"/>
      <c r="E62" s="57"/>
      <c r="F62" s="57"/>
      <c r="G62" s="57"/>
      <c r="H62" s="57"/>
      <c r="I62" s="57"/>
      <c r="J62" s="57"/>
      <c r="K62" s="58"/>
      <c r="L62" s="2"/>
      <c r="M62" s="2"/>
      <c r="N62" s="2"/>
      <c r="O62" s="5"/>
      <c r="P62" s="2"/>
      <c r="Q62" s="2"/>
      <c r="R62" s="2"/>
      <c r="S62" s="2"/>
      <c r="T62" s="2"/>
      <c r="U62" s="2"/>
      <c r="V62" s="2"/>
    </row>
    <row r="63" spans="1:2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5"/>
      <c r="P63" s="2"/>
      <c r="Q63" s="2"/>
      <c r="R63" s="2"/>
      <c r="S63" s="2"/>
      <c r="T63" s="2"/>
      <c r="U63" s="2"/>
      <c r="V63" s="2"/>
    </row>
    <row r="64" spans="1:2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5"/>
      <c r="P64" s="2"/>
      <c r="Q64" s="2"/>
      <c r="R64" s="2"/>
      <c r="S64" s="2"/>
      <c r="T64" s="2"/>
      <c r="U64" s="2"/>
      <c r="V64" s="2"/>
    </row>
    <row r="65" spans="1:22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5"/>
      <c r="P65" s="2"/>
      <c r="Q65" s="2"/>
      <c r="R65" s="2"/>
      <c r="S65" s="2"/>
      <c r="T65" s="2"/>
      <c r="U65" s="2"/>
      <c r="V65" s="2"/>
    </row>
    <row r="66" spans="1:22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2"/>
    </row>
    <row r="67" spans="1:22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5"/>
      <c r="P67" s="2"/>
      <c r="Q67" s="2"/>
      <c r="R67" s="2"/>
      <c r="S67" s="2"/>
      <c r="T67" s="2"/>
      <c r="U67" s="2"/>
      <c r="V67" s="2"/>
    </row>
    <row r="68" spans="1:22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5"/>
      <c r="P68" s="2"/>
      <c r="Q68" s="2"/>
      <c r="R68" s="2"/>
      <c r="S68" s="2"/>
      <c r="T68" s="2"/>
      <c r="U68" s="2"/>
      <c r="V68" s="2"/>
    </row>
    <row r="69" spans="1:22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"/>
      <c r="P69" s="2"/>
      <c r="Q69" s="2"/>
      <c r="R69" s="2"/>
      <c r="S69" s="2"/>
      <c r="T69" s="2"/>
      <c r="U69" s="2"/>
      <c r="V69" s="2"/>
    </row>
    <row r="70" spans="1:22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5"/>
      <c r="P70" s="2"/>
      <c r="Q70" s="2"/>
      <c r="R70" s="2"/>
      <c r="S70" s="2"/>
      <c r="T70" s="2"/>
      <c r="U70" s="2"/>
      <c r="V70" s="2"/>
    </row>
    <row r="71" spans="1:22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5"/>
      <c r="P71" s="2"/>
      <c r="Q71" s="2"/>
      <c r="R71" s="2"/>
      <c r="S71" s="2"/>
      <c r="T71" s="2"/>
      <c r="U71" s="2"/>
      <c r="V71" s="2"/>
    </row>
    <row r="72" spans="1:22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5"/>
      <c r="P72" s="2"/>
      <c r="Q72" s="2"/>
      <c r="R72" s="2"/>
      <c r="S72" s="2"/>
      <c r="T72" s="2"/>
      <c r="U72" s="2"/>
      <c r="V72" s="2"/>
    </row>
    <row r="73" spans="1:22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5"/>
      <c r="P73" s="2"/>
      <c r="Q73" s="2"/>
      <c r="R73" s="2"/>
      <c r="S73" s="2"/>
      <c r="T73" s="2"/>
      <c r="U73" s="2"/>
      <c r="V73" s="2"/>
    </row>
    <row r="74" spans="1:22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5"/>
      <c r="P74" s="2"/>
      <c r="Q74" s="2"/>
      <c r="R74" s="2"/>
      <c r="S74" s="2"/>
      <c r="T74" s="2"/>
      <c r="U74" s="2"/>
      <c r="V74" s="2"/>
    </row>
    <row r="75" spans="1:22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5"/>
      <c r="P75" s="2"/>
      <c r="Q75" s="2"/>
      <c r="R75" s="2"/>
      <c r="S75" s="2"/>
      <c r="T75" s="2"/>
      <c r="U75" s="2"/>
      <c r="V75" s="2"/>
    </row>
    <row r="76" spans="1:22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5"/>
      <c r="P76" s="2"/>
      <c r="Q76" s="2"/>
      <c r="R76" s="2"/>
      <c r="S76" s="2"/>
      <c r="T76" s="2"/>
      <c r="U76" s="2"/>
      <c r="V76" s="2"/>
    </row>
    <row r="77" spans="1:22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5"/>
      <c r="P77" s="2"/>
      <c r="Q77" s="2"/>
      <c r="R77" s="2"/>
      <c r="S77" s="2"/>
      <c r="T77" s="2"/>
      <c r="U77" s="2"/>
      <c r="V77" s="2"/>
    </row>
    <row r="78" spans="1:22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2"/>
      <c r="Q78" s="2"/>
      <c r="R78" s="2"/>
      <c r="S78" s="2"/>
      <c r="T78" s="2"/>
      <c r="U78" s="2"/>
      <c r="V78" s="2"/>
    </row>
    <row r="79" spans="1:22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5"/>
      <c r="P79" s="2"/>
      <c r="Q79" s="2"/>
      <c r="R79" s="2"/>
      <c r="S79" s="2"/>
      <c r="T79" s="2"/>
      <c r="U79" s="2"/>
      <c r="V79" s="2"/>
    </row>
    <row r="80" spans="1:22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5"/>
      <c r="P80" s="2"/>
      <c r="Q80" s="2"/>
      <c r="R80" s="2"/>
      <c r="S80" s="2"/>
      <c r="T80" s="2"/>
      <c r="U80" s="2"/>
      <c r="V80" s="2"/>
    </row>
    <row r="81" spans="1:22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5"/>
      <c r="P81" s="2"/>
      <c r="Q81" s="2"/>
      <c r="R81" s="2"/>
      <c r="S81" s="2"/>
      <c r="T81" s="2"/>
      <c r="U81" s="2"/>
      <c r="V81" s="2"/>
    </row>
    <row r="82" spans="1:22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5"/>
      <c r="P82" s="2"/>
      <c r="Q82" s="2"/>
      <c r="R82" s="2"/>
      <c r="S82" s="2"/>
      <c r="T82" s="2"/>
      <c r="U82" s="2"/>
      <c r="V82" s="2"/>
    </row>
    <row r="83" spans="1:22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2"/>
      <c r="T83" s="2"/>
      <c r="U83" s="2"/>
      <c r="V83" s="2"/>
    </row>
    <row r="84" spans="1:22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5"/>
      <c r="P84" s="2"/>
      <c r="Q84" s="2"/>
      <c r="R84" s="2"/>
      <c r="S84" s="2"/>
      <c r="T84" s="2"/>
      <c r="U84" s="2"/>
      <c r="V84" s="2"/>
    </row>
    <row r="85" spans="1:22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5"/>
      <c r="P85" s="2"/>
      <c r="Q85" s="2"/>
      <c r="R85" s="2"/>
      <c r="S85" s="2"/>
      <c r="T85" s="2"/>
      <c r="U85" s="2"/>
      <c r="V85" s="2"/>
    </row>
    <row r="86" spans="1:22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5"/>
      <c r="P86" s="2"/>
      <c r="Q86" s="2"/>
      <c r="R86" s="2"/>
      <c r="S86" s="2"/>
      <c r="T86" s="2"/>
      <c r="U86" s="2"/>
      <c r="V86" s="2"/>
    </row>
    <row r="87" spans="1:22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5"/>
      <c r="P87" s="2"/>
      <c r="Q87" s="2"/>
      <c r="R87" s="2"/>
      <c r="S87" s="2"/>
      <c r="T87" s="2"/>
      <c r="U87" s="2"/>
      <c r="V87" s="2"/>
    </row>
    <row r="88" spans="1:22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5"/>
      <c r="P88" s="2"/>
      <c r="Q88" s="2"/>
      <c r="R88" s="2"/>
      <c r="S88" s="2"/>
      <c r="T88" s="2"/>
      <c r="U88" s="2"/>
      <c r="V88" s="2"/>
    </row>
    <row r="89" spans="1:22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5"/>
      <c r="P89" s="2"/>
      <c r="Q89" s="2"/>
      <c r="R89" s="2"/>
      <c r="S89" s="2"/>
      <c r="T89" s="2"/>
      <c r="U89" s="2"/>
      <c r="V89" s="2"/>
    </row>
    <row r="90" spans="1:22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5"/>
      <c r="P90" s="2"/>
      <c r="Q90" s="2"/>
      <c r="R90" s="2"/>
      <c r="S90" s="2"/>
      <c r="T90" s="2"/>
      <c r="U90" s="2"/>
      <c r="V90" s="2"/>
    </row>
    <row r="91" spans="1:22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5"/>
      <c r="P91" s="2"/>
      <c r="Q91" s="2"/>
      <c r="R91" s="2"/>
      <c r="S91" s="2"/>
      <c r="T91" s="2"/>
      <c r="U91" s="2"/>
      <c r="V91" s="2"/>
    </row>
    <row r="92" spans="1:22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5"/>
      <c r="P92" s="2"/>
      <c r="Q92" s="2"/>
      <c r="R92" s="2"/>
      <c r="S92" s="2"/>
      <c r="T92" s="2"/>
      <c r="U92" s="2"/>
      <c r="V92" s="2"/>
    </row>
    <row r="93" spans="1:22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5"/>
      <c r="P93" s="2"/>
      <c r="Q93" s="2"/>
      <c r="R93" s="2"/>
      <c r="S93" s="2"/>
      <c r="T93" s="2"/>
      <c r="U93" s="2"/>
      <c r="V93" s="2"/>
    </row>
    <row r="94" spans="1:22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5"/>
      <c r="P94" s="2"/>
      <c r="Q94" s="2"/>
      <c r="R94" s="2"/>
      <c r="S94" s="2"/>
      <c r="T94" s="2"/>
      <c r="U94" s="2"/>
      <c r="V94" s="2"/>
    </row>
    <row r="95" spans="1:22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5"/>
      <c r="P95" s="2"/>
      <c r="Q95" s="2"/>
      <c r="R95" s="2"/>
      <c r="S95" s="2"/>
      <c r="T95" s="2"/>
      <c r="U95" s="2"/>
      <c r="V95" s="2"/>
    </row>
    <row r="96" spans="1:22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5"/>
      <c r="P96" s="2"/>
      <c r="Q96" s="2"/>
      <c r="R96" s="2"/>
      <c r="S96" s="2"/>
      <c r="T96" s="2"/>
      <c r="U96" s="2"/>
      <c r="V96" s="2"/>
    </row>
    <row r="97" spans="1:22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5"/>
      <c r="P97" s="2"/>
      <c r="Q97" s="2"/>
      <c r="R97" s="2"/>
      <c r="S97" s="2"/>
      <c r="T97" s="2"/>
      <c r="U97" s="2"/>
      <c r="V97" s="2"/>
    </row>
    <row r="98" spans="1:22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5"/>
      <c r="P98" s="2"/>
      <c r="Q98" s="2"/>
      <c r="R98" s="2"/>
      <c r="S98" s="2"/>
      <c r="T98" s="2"/>
      <c r="U98" s="2"/>
      <c r="V98" s="2"/>
    </row>
    <row r="99" spans="1:22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5"/>
      <c r="P99" s="2"/>
      <c r="Q99" s="2"/>
      <c r="R99" s="2"/>
      <c r="S99" s="2"/>
      <c r="T99" s="2"/>
      <c r="U99" s="2"/>
      <c r="V99" s="2"/>
    </row>
    <row r="100" spans="1:22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5"/>
      <c r="P100" s="2"/>
      <c r="Q100" s="2"/>
      <c r="R100" s="2"/>
      <c r="S100" s="2"/>
      <c r="T100" s="2"/>
      <c r="U100" s="2"/>
      <c r="V100" s="2"/>
    </row>
    <row r="101" spans="1:22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5"/>
      <c r="P101" s="2"/>
      <c r="Q101" s="2"/>
      <c r="R101" s="2"/>
      <c r="S101" s="2"/>
      <c r="T101" s="2"/>
      <c r="U101" s="2"/>
      <c r="V101" s="2"/>
    </row>
    <row r="102" spans="1:22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5"/>
      <c r="P102" s="2"/>
      <c r="Q102" s="2"/>
      <c r="R102" s="2"/>
      <c r="S102" s="2"/>
      <c r="T102" s="2"/>
      <c r="U102" s="2"/>
      <c r="V102" s="2"/>
    </row>
    <row r="103" spans="1:22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5"/>
      <c r="P103" s="2"/>
      <c r="Q103" s="2"/>
      <c r="R103" s="2"/>
      <c r="S103" s="2"/>
      <c r="T103" s="2"/>
      <c r="U103" s="2"/>
      <c r="V103" s="2"/>
    </row>
    <row r="104" spans="1:22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5"/>
      <c r="P104" s="2"/>
      <c r="Q104" s="2"/>
      <c r="R104" s="2"/>
      <c r="S104" s="2"/>
      <c r="T104" s="2"/>
      <c r="U104" s="2"/>
      <c r="V104" s="2"/>
    </row>
    <row r="105" spans="1:22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5"/>
      <c r="P105" s="2"/>
      <c r="Q105" s="2"/>
      <c r="R105" s="2"/>
      <c r="S105" s="2"/>
      <c r="T105" s="2"/>
      <c r="U105" s="2"/>
      <c r="V105" s="2"/>
    </row>
    <row r="106" spans="1:22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5"/>
      <c r="P106" s="2"/>
      <c r="Q106" s="2"/>
      <c r="R106" s="2"/>
      <c r="S106" s="2"/>
      <c r="T106" s="2"/>
      <c r="U106" s="2"/>
      <c r="V106" s="2"/>
    </row>
    <row r="107" spans="1:22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5"/>
      <c r="P107" s="2"/>
      <c r="Q107" s="2"/>
      <c r="R107" s="2"/>
      <c r="S107" s="2"/>
      <c r="T107" s="2"/>
      <c r="U107" s="2"/>
      <c r="V107" s="2"/>
    </row>
    <row r="108" spans="1:22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5"/>
      <c r="P108" s="2"/>
      <c r="Q108" s="2"/>
      <c r="R108" s="2"/>
      <c r="S108" s="2"/>
      <c r="T108" s="2"/>
      <c r="U108" s="2"/>
      <c r="V108" s="2"/>
    </row>
    <row r="109" spans="1:22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5"/>
      <c r="P109" s="2"/>
      <c r="Q109" s="2"/>
      <c r="R109" s="2"/>
      <c r="S109" s="2"/>
      <c r="T109" s="2"/>
      <c r="U109" s="2"/>
      <c r="V109" s="2"/>
    </row>
    <row r="110" spans="1:22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5"/>
      <c r="P110" s="2"/>
      <c r="Q110" s="2"/>
      <c r="R110" s="2"/>
      <c r="S110" s="2"/>
      <c r="T110" s="2"/>
      <c r="U110" s="2"/>
      <c r="V110" s="2"/>
    </row>
    <row r="111" spans="1:22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5"/>
      <c r="P111" s="2"/>
      <c r="Q111" s="2"/>
      <c r="R111" s="2"/>
      <c r="S111" s="2"/>
      <c r="T111" s="2"/>
      <c r="U111" s="2"/>
      <c r="V111" s="2"/>
    </row>
    <row r="112" spans="1:22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5"/>
      <c r="P112" s="2"/>
      <c r="Q112" s="2"/>
      <c r="R112" s="2"/>
      <c r="S112" s="2"/>
      <c r="T112" s="2"/>
      <c r="U112" s="2"/>
      <c r="V112" s="2"/>
    </row>
    <row r="113" spans="1:22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5"/>
      <c r="P113" s="2"/>
      <c r="Q113" s="2"/>
      <c r="R113" s="2"/>
      <c r="S113" s="2"/>
      <c r="T113" s="2"/>
      <c r="U113" s="2"/>
      <c r="V113" s="2"/>
    </row>
    <row r="114" spans="1:22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5"/>
      <c r="P114" s="2"/>
      <c r="Q114" s="2"/>
      <c r="R114" s="2"/>
      <c r="S114" s="2"/>
      <c r="T114" s="2"/>
      <c r="U114" s="2"/>
      <c r="V114" s="2"/>
    </row>
    <row r="115" spans="1:22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5"/>
      <c r="P115" s="2"/>
      <c r="Q115" s="2"/>
      <c r="R115" s="2"/>
      <c r="S115" s="2"/>
      <c r="T115" s="2"/>
      <c r="U115" s="2"/>
      <c r="V115" s="2"/>
    </row>
    <row r="116" spans="1:22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5"/>
      <c r="P116" s="2"/>
      <c r="Q116" s="2"/>
      <c r="R116" s="2"/>
      <c r="S116" s="2"/>
      <c r="T116" s="2"/>
      <c r="U116" s="2"/>
      <c r="V116" s="2"/>
    </row>
    <row r="117" spans="1:22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5"/>
      <c r="P117" s="2"/>
      <c r="Q117" s="2"/>
      <c r="R117" s="2"/>
      <c r="S117" s="2"/>
      <c r="T117" s="2"/>
      <c r="U117" s="2"/>
      <c r="V117" s="2"/>
    </row>
    <row r="118" spans="1:22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5"/>
      <c r="P118" s="2"/>
      <c r="Q118" s="2"/>
      <c r="R118" s="2"/>
      <c r="S118" s="2"/>
      <c r="T118" s="2"/>
      <c r="U118" s="2"/>
      <c r="V118" s="2"/>
    </row>
    <row r="119" spans="1:22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5"/>
      <c r="P119" s="2"/>
      <c r="Q119" s="2"/>
      <c r="R119" s="2"/>
      <c r="S119" s="2"/>
      <c r="T119" s="2"/>
      <c r="U119" s="2"/>
      <c r="V119" s="2"/>
    </row>
    <row r="120" spans="1:22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5"/>
      <c r="P120" s="2"/>
      <c r="Q120" s="2"/>
      <c r="R120" s="2"/>
      <c r="S120" s="2"/>
      <c r="T120" s="2"/>
      <c r="U120" s="2"/>
      <c r="V120" s="2"/>
    </row>
    <row r="121" spans="1:22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5"/>
      <c r="P121" s="2"/>
      <c r="Q121" s="2"/>
      <c r="R121" s="2"/>
      <c r="S121" s="2"/>
      <c r="T121" s="2"/>
      <c r="U121" s="2"/>
      <c r="V121" s="2"/>
    </row>
    <row r="122" spans="1:22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5"/>
      <c r="P122" s="2"/>
      <c r="Q122" s="2"/>
      <c r="R122" s="2"/>
      <c r="S122" s="2"/>
      <c r="T122" s="2"/>
      <c r="U122" s="2"/>
      <c r="V122" s="2"/>
    </row>
    <row r="123" spans="1:22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5"/>
      <c r="P123" s="2"/>
      <c r="Q123" s="2"/>
      <c r="R123" s="2"/>
      <c r="S123" s="2"/>
      <c r="T123" s="2"/>
      <c r="U123" s="2"/>
      <c r="V123" s="2"/>
    </row>
    <row r="124" spans="1:22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5"/>
      <c r="P124" s="2"/>
      <c r="Q124" s="2"/>
      <c r="R124" s="2"/>
      <c r="S124" s="2"/>
      <c r="T124" s="2"/>
      <c r="U124" s="2"/>
      <c r="V124" s="2"/>
    </row>
    <row r="125" spans="1:22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5"/>
      <c r="P125" s="2"/>
      <c r="Q125" s="2"/>
      <c r="R125" s="2"/>
      <c r="S125" s="2"/>
      <c r="T125" s="2"/>
      <c r="U125" s="2"/>
      <c r="V125" s="2"/>
    </row>
    <row r="126" spans="1:22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5"/>
      <c r="P126" s="2"/>
      <c r="Q126" s="2"/>
      <c r="R126" s="2"/>
      <c r="S126" s="2"/>
      <c r="T126" s="2"/>
      <c r="U126" s="2"/>
      <c r="V126" s="2"/>
    </row>
    <row r="127" spans="1:22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5"/>
      <c r="P127" s="2"/>
      <c r="Q127" s="2"/>
      <c r="R127" s="2"/>
      <c r="S127" s="2"/>
      <c r="T127" s="2"/>
      <c r="U127" s="2"/>
      <c r="V127" s="2"/>
    </row>
    <row r="128" spans="1:22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5"/>
      <c r="P128" s="2"/>
      <c r="Q128" s="2"/>
      <c r="R128" s="2"/>
      <c r="S128" s="2"/>
      <c r="T128" s="2"/>
      <c r="U128" s="2"/>
      <c r="V128" s="2"/>
    </row>
    <row r="129" spans="1:22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"/>
      <c r="P129" s="2"/>
      <c r="Q129" s="2"/>
      <c r="R129" s="2"/>
      <c r="S129" s="2"/>
      <c r="T129" s="2"/>
      <c r="U129" s="2"/>
      <c r="V129" s="2"/>
    </row>
    <row r="130" spans="1:22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5"/>
      <c r="P130" s="2"/>
      <c r="Q130" s="2"/>
      <c r="R130" s="2"/>
      <c r="S130" s="2"/>
      <c r="T130" s="2"/>
      <c r="U130" s="2"/>
      <c r="V130" s="2"/>
    </row>
    <row r="131" spans="1:22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5"/>
      <c r="P131" s="2"/>
      <c r="Q131" s="2"/>
      <c r="R131" s="2"/>
      <c r="S131" s="2"/>
      <c r="T131" s="2"/>
      <c r="U131" s="2"/>
      <c r="V131" s="2"/>
    </row>
    <row r="132" spans="1:22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5"/>
      <c r="P132" s="2"/>
      <c r="Q132" s="2"/>
      <c r="R132" s="2"/>
      <c r="S132" s="2"/>
      <c r="T132" s="2"/>
      <c r="U132" s="2"/>
      <c r="V132" s="2"/>
    </row>
    <row r="133" spans="1:22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5"/>
      <c r="P133" s="2"/>
      <c r="Q133" s="2"/>
      <c r="R133" s="2"/>
      <c r="S133" s="2"/>
      <c r="T133" s="2"/>
      <c r="U133" s="2"/>
      <c r="V133" s="2"/>
    </row>
    <row r="134" spans="1:22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5"/>
      <c r="P134" s="2"/>
      <c r="Q134" s="2"/>
      <c r="R134" s="2"/>
      <c r="S134" s="2"/>
      <c r="T134" s="2"/>
      <c r="U134" s="2"/>
      <c r="V134" s="2"/>
    </row>
    <row r="135" spans="1:22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5"/>
      <c r="P135" s="2"/>
      <c r="Q135" s="2"/>
      <c r="R135" s="2"/>
      <c r="S135" s="2"/>
      <c r="T135" s="2"/>
      <c r="U135" s="2"/>
      <c r="V135" s="2"/>
    </row>
    <row r="136" spans="1:22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5"/>
      <c r="P136" s="2"/>
      <c r="Q136" s="2"/>
      <c r="R136" s="2"/>
      <c r="S136" s="2"/>
      <c r="T136" s="2"/>
      <c r="U136" s="2"/>
      <c r="V136" s="2"/>
    </row>
    <row r="137" spans="1:22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5"/>
      <c r="P137" s="2"/>
      <c r="Q137" s="2"/>
      <c r="R137" s="2"/>
      <c r="S137" s="2"/>
      <c r="T137" s="2"/>
      <c r="U137" s="2"/>
      <c r="V137" s="2"/>
    </row>
    <row r="138" spans="1:22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"/>
      <c r="P138" s="2"/>
      <c r="Q138" s="2"/>
      <c r="R138" s="2"/>
      <c r="S138" s="2"/>
      <c r="T138" s="2"/>
      <c r="U138" s="2"/>
      <c r="V138" s="2"/>
    </row>
    <row r="139" spans="1:22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"/>
      <c r="P139" s="2"/>
      <c r="Q139" s="2"/>
      <c r="R139" s="2"/>
      <c r="S139" s="2"/>
      <c r="T139" s="2"/>
      <c r="U139" s="2"/>
      <c r="V139" s="2"/>
    </row>
    <row r="140" spans="1:22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5"/>
      <c r="P140" s="2"/>
      <c r="Q140" s="2"/>
      <c r="R140" s="2"/>
      <c r="S140" s="2"/>
      <c r="T140" s="2"/>
      <c r="U140" s="2"/>
      <c r="V140" s="2"/>
    </row>
    <row r="141" spans="1:22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5"/>
      <c r="P141" s="2"/>
      <c r="Q141" s="2"/>
      <c r="R141" s="2"/>
      <c r="S141" s="2"/>
      <c r="T141" s="2"/>
      <c r="U141" s="2"/>
      <c r="V141" s="2"/>
    </row>
    <row r="142" spans="1:22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5"/>
      <c r="P142" s="2"/>
      <c r="Q142" s="2"/>
      <c r="R142" s="2"/>
      <c r="S142" s="2"/>
      <c r="T142" s="2"/>
      <c r="U142" s="2"/>
      <c r="V142" s="2"/>
    </row>
    <row r="143" spans="1:22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5"/>
      <c r="P143" s="2"/>
      <c r="Q143" s="2"/>
      <c r="R143" s="2"/>
      <c r="S143" s="2"/>
      <c r="T143" s="2"/>
      <c r="U143" s="2"/>
      <c r="V143" s="2"/>
    </row>
    <row r="144" spans="1:22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5"/>
      <c r="P144" s="2"/>
      <c r="Q144" s="2"/>
      <c r="R144" s="2"/>
      <c r="S144" s="2"/>
      <c r="T144" s="2"/>
      <c r="U144" s="2"/>
      <c r="V144" s="2"/>
    </row>
    <row r="145" spans="1:22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5"/>
      <c r="P145" s="2"/>
      <c r="Q145" s="2"/>
      <c r="R145" s="2"/>
      <c r="S145" s="2"/>
      <c r="T145" s="2"/>
      <c r="U145" s="2"/>
      <c r="V145" s="2"/>
    </row>
    <row r="146" spans="1:22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5"/>
      <c r="P146" s="2"/>
      <c r="Q146" s="2"/>
      <c r="R146" s="2"/>
      <c r="S146" s="2"/>
      <c r="T146" s="2"/>
      <c r="U146" s="2"/>
      <c r="V146" s="2"/>
    </row>
    <row r="147" spans="1:22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5"/>
      <c r="P147" s="2"/>
      <c r="Q147" s="2"/>
      <c r="R147" s="2"/>
      <c r="S147" s="2"/>
      <c r="T147" s="2"/>
      <c r="U147" s="2"/>
      <c r="V147" s="2"/>
    </row>
    <row r="148" spans="1:22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5"/>
      <c r="P148" s="2"/>
      <c r="Q148" s="2"/>
      <c r="R148" s="2"/>
      <c r="S148" s="2"/>
      <c r="T148" s="2"/>
      <c r="U148" s="2"/>
      <c r="V148" s="2"/>
    </row>
    <row r="149" spans="1:22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5"/>
      <c r="P149" s="2"/>
      <c r="Q149" s="2"/>
      <c r="R149" s="2"/>
      <c r="S149" s="2"/>
      <c r="T149" s="2"/>
      <c r="U149" s="2"/>
      <c r="V149" s="2"/>
    </row>
    <row r="150" spans="1:22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5"/>
      <c r="P150" s="2"/>
      <c r="Q150" s="2"/>
      <c r="R150" s="2"/>
      <c r="S150" s="2"/>
      <c r="T150" s="2"/>
      <c r="U150" s="2"/>
      <c r="V150" s="2"/>
    </row>
    <row r="151" spans="1:22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5"/>
      <c r="P151" s="2"/>
      <c r="Q151" s="2"/>
      <c r="R151" s="2"/>
      <c r="S151" s="2"/>
      <c r="T151" s="2"/>
      <c r="U151" s="2"/>
      <c r="V151" s="2"/>
    </row>
    <row r="152" spans="1:22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5"/>
      <c r="P152" s="2"/>
      <c r="Q152" s="2"/>
      <c r="R152" s="2"/>
      <c r="S152" s="2"/>
      <c r="T152" s="2"/>
      <c r="U152" s="2"/>
      <c r="V152" s="2"/>
    </row>
    <row r="153" spans="1:22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5"/>
      <c r="P153" s="2"/>
      <c r="Q153" s="2"/>
      <c r="R153" s="2"/>
      <c r="S153" s="2"/>
      <c r="T153" s="2"/>
      <c r="U153" s="2"/>
      <c r="V153" s="2"/>
    </row>
    <row r="154" spans="1:22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5"/>
      <c r="P154" s="2"/>
      <c r="Q154" s="2"/>
      <c r="R154" s="2"/>
      <c r="S154" s="2"/>
      <c r="T154" s="2"/>
      <c r="U154" s="2"/>
      <c r="V154" s="2"/>
    </row>
    <row r="155" spans="1:22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5"/>
      <c r="P155" s="2"/>
      <c r="Q155" s="2"/>
      <c r="R155" s="2"/>
      <c r="S155" s="2"/>
      <c r="T155" s="2"/>
      <c r="U155" s="2"/>
      <c r="V155" s="2"/>
    </row>
    <row r="156" spans="1:22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5"/>
      <c r="P156" s="2"/>
      <c r="Q156" s="2"/>
      <c r="R156" s="2"/>
      <c r="S156" s="2"/>
      <c r="T156" s="2"/>
      <c r="U156" s="2"/>
      <c r="V156" s="2"/>
    </row>
    <row r="157" spans="1:22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5"/>
      <c r="P157" s="2"/>
      <c r="Q157" s="2"/>
      <c r="R157" s="2"/>
      <c r="S157" s="2"/>
      <c r="T157" s="2"/>
      <c r="U157" s="2"/>
      <c r="V157" s="2"/>
    </row>
    <row r="158" spans="1:22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5"/>
      <c r="P158" s="2"/>
      <c r="Q158" s="2"/>
      <c r="R158" s="2"/>
      <c r="S158" s="2"/>
      <c r="T158" s="2"/>
      <c r="U158" s="2"/>
      <c r="V158" s="2"/>
    </row>
    <row r="159" spans="1:22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5"/>
      <c r="P159" s="2"/>
      <c r="Q159" s="2"/>
      <c r="R159" s="2"/>
      <c r="S159" s="2"/>
      <c r="T159" s="2"/>
      <c r="U159" s="2"/>
      <c r="V159" s="2"/>
    </row>
    <row r="160" spans="1:22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5"/>
      <c r="P160" s="2"/>
      <c r="Q160" s="2"/>
      <c r="R160" s="2"/>
      <c r="S160" s="2"/>
      <c r="T160" s="2"/>
      <c r="U160" s="2"/>
      <c r="V160" s="2"/>
    </row>
    <row r="161" spans="1:22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5"/>
      <c r="P161" s="2"/>
      <c r="Q161" s="2"/>
      <c r="R161" s="2"/>
      <c r="S161" s="2"/>
      <c r="T161" s="2"/>
      <c r="U161" s="2"/>
      <c r="V161" s="2"/>
    </row>
    <row r="162" spans="1:22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5"/>
      <c r="P162" s="2"/>
      <c r="Q162" s="2"/>
      <c r="R162" s="2"/>
      <c r="S162" s="2"/>
      <c r="T162" s="2"/>
      <c r="U162" s="2"/>
      <c r="V162" s="2"/>
    </row>
    <row r="163" spans="1:22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5"/>
      <c r="P163" s="2"/>
      <c r="Q163" s="2"/>
      <c r="R163" s="2"/>
      <c r="S163" s="2"/>
      <c r="T163" s="2"/>
      <c r="U163" s="2"/>
      <c r="V163" s="2"/>
    </row>
    <row r="164" spans="1:22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5"/>
      <c r="P164" s="2"/>
      <c r="Q164" s="2"/>
      <c r="R164" s="2"/>
      <c r="S164" s="2"/>
      <c r="T164" s="2"/>
      <c r="U164" s="2"/>
      <c r="V164" s="2"/>
    </row>
    <row r="165" spans="1:22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5"/>
      <c r="P165" s="2"/>
      <c r="Q165" s="2"/>
      <c r="R165" s="2"/>
      <c r="S165" s="2"/>
      <c r="T165" s="2"/>
      <c r="U165" s="2"/>
      <c r="V165" s="2"/>
    </row>
    <row r="166" spans="1:22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5"/>
      <c r="P166" s="2"/>
      <c r="Q166" s="2"/>
      <c r="R166" s="2"/>
      <c r="S166" s="2"/>
      <c r="T166" s="2"/>
      <c r="U166" s="2"/>
      <c r="V166" s="2"/>
    </row>
    <row r="167" spans="1:22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5"/>
      <c r="P167" s="2"/>
      <c r="Q167" s="2"/>
      <c r="R167" s="2"/>
      <c r="S167" s="2"/>
      <c r="T167" s="2"/>
      <c r="U167" s="2"/>
      <c r="V167" s="2"/>
    </row>
    <row r="168" spans="1:22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5"/>
      <c r="P168" s="2"/>
      <c r="Q168" s="2"/>
      <c r="R168" s="2"/>
      <c r="S168" s="2"/>
      <c r="T168" s="2"/>
      <c r="U168" s="2"/>
      <c r="V168" s="2"/>
    </row>
    <row r="169" spans="1:22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5"/>
      <c r="P169" s="2"/>
      <c r="Q169" s="2"/>
      <c r="R169" s="2"/>
      <c r="S169" s="2"/>
      <c r="T169" s="2"/>
      <c r="U169" s="2"/>
      <c r="V169" s="2"/>
    </row>
    <row r="170" spans="1:22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5"/>
      <c r="P170" s="2"/>
      <c r="Q170" s="2"/>
      <c r="R170" s="2"/>
      <c r="S170" s="2"/>
      <c r="T170" s="2"/>
      <c r="U170" s="2"/>
      <c r="V170" s="2"/>
    </row>
    <row r="171" spans="1:22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5"/>
      <c r="P171" s="2"/>
      <c r="Q171" s="2"/>
      <c r="R171" s="2"/>
      <c r="S171" s="2"/>
      <c r="T171" s="2"/>
      <c r="U171" s="2"/>
      <c r="V171" s="2"/>
    </row>
    <row r="172" spans="1:22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5"/>
      <c r="P172" s="2"/>
      <c r="Q172" s="2"/>
      <c r="R172" s="2"/>
      <c r="S172" s="2"/>
      <c r="T172" s="2"/>
      <c r="U172" s="2"/>
      <c r="V172" s="2"/>
    </row>
    <row r="173" spans="1:22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5"/>
      <c r="P173" s="2"/>
      <c r="Q173" s="2"/>
      <c r="R173" s="2"/>
      <c r="S173" s="2"/>
      <c r="T173" s="2"/>
      <c r="U173" s="2"/>
      <c r="V173" s="2"/>
    </row>
    <row r="174" spans="1:22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5"/>
      <c r="P174" s="2"/>
      <c r="Q174" s="2"/>
      <c r="R174" s="2"/>
      <c r="S174" s="2"/>
      <c r="T174" s="2"/>
      <c r="U174" s="2"/>
      <c r="V174" s="2"/>
    </row>
    <row r="175" spans="1:22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5"/>
      <c r="P175" s="2"/>
      <c r="Q175" s="2"/>
      <c r="R175" s="2"/>
      <c r="S175" s="2"/>
      <c r="T175" s="2"/>
      <c r="U175" s="2"/>
      <c r="V175" s="2"/>
    </row>
    <row r="176" spans="1:22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5"/>
      <c r="P176" s="2"/>
      <c r="Q176" s="2"/>
      <c r="R176" s="2"/>
      <c r="S176" s="2"/>
      <c r="T176" s="2"/>
      <c r="U176" s="2"/>
      <c r="V176" s="2"/>
    </row>
    <row r="177" spans="1:22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5"/>
      <c r="P177" s="2"/>
      <c r="Q177" s="2"/>
      <c r="R177" s="2"/>
      <c r="S177" s="2"/>
      <c r="T177" s="2"/>
      <c r="U177" s="2"/>
      <c r="V177" s="2"/>
    </row>
    <row r="178" spans="1:22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5"/>
      <c r="P178" s="2"/>
      <c r="Q178" s="2"/>
      <c r="R178" s="2"/>
      <c r="S178" s="2"/>
      <c r="T178" s="2"/>
      <c r="U178" s="2"/>
      <c r="V178" s="2"/>
    </row>
    <row r="179" spans="1:22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5"/>
      <c r="P179" s="2"/>
      <c r="Q179" s="2"/>
      <c r="R179" s="2"/>
      <c r="S179" s="2"/>
      <c r="T179" s="2"/>
      <c r="U179" s="2"/>
      <c r="V179" s="2"/>
    </row>
    <row r="180" spans="1:22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5"/>
      <c r="P180" s="2"/>
      <c r="Q180" s="2"/>
      <c r="R180" s="2"/>
      <c r="S180" s="2"/>
      <c r="T180" s="2"/>
      <c r="U180" s="2"/>
      <c r="V180" s="2"/>
    </row>
    <row r="181" spans="1:22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5"/>
      <c r="P181" s="2"/>
      <c r="Q181" s="2"/>
      <c r="R181" s="2"/>
      <c r="S181" s="2"/>
      <c r="T181" s="2"/>
      <c r="U181" s="2"/>
      <c r="V181" s="2"/>
    </row>
    <row r="182" spans="1:22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5"/>
      <c r="P182" s="2"/>
      <c r="Q182" s="2"/>
      <c r="R182" s="2"/>
      <c r="S182" s="2"/>
      <c r="T182" s="2"/>
      <c r="U182" s="2"/>
      <c r="V182" s="2"/>
    </row>
    <row r="183" spans="1:22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5"/>
      <c r="P183" s="2"/>
      <c r="Q183" s="2"/>
      <c r="R183" s="2"/>
      <c r="S183" s="2"/>
      <c r="T183" s="2"/>
      <c r="U183" s="2"/>
      <c r="V183" s="2"/>
    </row>
    <row r="184" spans="1:22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5"/>
      <c r="P184" s="2"/>
      <c r="Q184" s="2"/>
      <c r="R184" s="2"/>
      <c r="S184" s="2"/>
      <c r="T184" s="2"/>
      <c r="U184" s="2"/>
      <c r="V184" s="2"/>
    </row>
    <row r="185" spans="1:22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5"/>
      <c r="P185" s="2"/>
      <c r="Q185" s="2"/>
      <c r="R185" s="2"/>
      <c r="S185" s="2"/>
      <c r="T185" s="2"/>
      <c r="U185" s="2"/>
      <c r="V185" s="2"/>
    </row>
    <row r="186" spans="1:22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5"/>
      <c r="P186" s="2"/>
      <c r="Q186" s="2"/>
      <c r="R186" s="2"/>
      <c r="S186" s="2"/>
      <c r="T186" s="2"/>
      <c r="U186" s="2"/>
      <c r="V186" s="2"/>
    </row>
    <row r="187" spans="1:22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5"/>
      <c r="P187" s="2"/>
      <c r="Q187" s="2"/>
      <c r="R187" s="2"/>
      <c r="S187" s="2"/>
      <c r="T187" s="2"/>
      <c r="U187" s="2"/>
      <c r="V187" s="2"/>
    </row>
    <row r="188" spans="1:22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5"/>
      <c r="P188" s="2"/>
      <c r="Q188" s="2"/>
      <c r="R188" s="2"/>
      <c r="S188" s="2"/>
      <c r="T188" s="2"/>
      <c r="U188" s="2"/>
      <c r="V188" s="2"/>
    </row>
    <row r="189" spans="1:22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5"/>
      <c r="P189" s="2"/>
      <c r="Q189" s="2"/>
      <c r="R189" s="2"/>
      <c r="S189" s="2"/>
      <c r="T189" s="2"/>
      <c r="U189" s="2"/>
      <c r="V189" s="2"/>
    </row>
    <row r="190" spans="1:22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5"/>
      <c r="P190" s="2"/>
      <c r="Q190" s="2"/>
      <c r="R190" s="2"/>
      <c r="S190" s="2"/>
      <c r="T190" s="2"/>
      <c r="U190" s="2"/>
      <c r="V190" s="2"/>
    </row>
    <row r="191" spans="1:22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5"/>
      <c r="P191" s="2"/>
      <c r="Q191" s="2"/>
      <c r="R191" s="2"/>
      <c r="S191" s="2"/>
      <c r="T191" s="2"/>
      <c r="U191" s="2"/>
      <c r="V191" s="2"/>
    </row>
    <row r="192" spans="1:22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5"/>
      <c r="P192" s="2"/>
      <c r="Q192" s="2"/>
      <c r="R192" s="2"/>
      <c r="S192" s="2"/>
      <c r="T192" s="2"/>
      <c r="U192" s="2"/>
      <c r="V192" s="2"/>
    </row>
    <row r="193" spans="1:22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5"/>
      <c r="P193" s="2"/>
      <c r="Q193" s="2"/>
      <c r="R193" s="2"/>
      <c r="S193" s="2"/>
      <c r="T193" s="2"/>
      <c r="U193" s="2"/>
      <c r="V193" s="2"/>
    </row>
    <row r="194" spans="1:22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5"/>
      <c r="P194" s="2"/>
      <c r="Q194" s="2"/>
      <c r="R194" s="2"/>
      <c r="S194" s="2"/>
      <c r="T194" s="2"/>
      <c r="U194" s="2"/>
      <c r="V194" s="2"/>
    </row>
    <row r="195" spans="1:22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5"/>
      <c r="P195" s="2"/>
      <c r="Q195" s="2"/>
      <c r="R195" s="2"/>
      <c r="S195" s="2"/>
      <c r="T195" s="2"/>
      <c r="U195" s="2"/>
      <c r="V195" s="2"/>
    </row>
    <row r="196" spans="1:22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5"/>
      <c r="P196" s="2"/>
      <c r="Q196" s="2"/>
      <c r="R196" s="2"/>
      <c r="S196" s="2"/>
      <c r="T196" s="2"/>
      <c r="U196" s="2"/>
      <c r="V196" s="2"/>
    </row>
    <row r="197" spans="1:22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5"/>
      <c r="P197" s="2"/>
      <c r="Q197" s="2"/>
      <c r="R197" s="2"/>
      <c r="S197" s="2"/>
      <c r="T197" s="2"/>
      <c r="U197" s="2"/>
      <c r="V197" s="2"/>
    </row>
    <row r="198" spans="1:22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5"/>
      <c r="P198" s="2"/>
      <c r="Q198" s="2"/>
      <c r="R198" s="2"/>
      <c r="S198" s="2"/>
      <c r="T198" s="2"/>
      <c r="U198" s="2"/>
      <c r="V198" s="2"/>
    </row>
    <row r="199" spans="1:22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5"/>
      <c r="P199" s="2"/>
      <c r="Q199" s="2"/>
      <c r="R199" s="2"/>
      <c r="S199" s="2"/>
      <c r="T199" s="2"/>
      <c r="U199" s="2"/>
      <c r="V199" s="2"/>
    </row>
    <row r="200" spans="1:22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5"/>
      <c r="P200" s="2"/>
      <c r="Q200" s="2"/>
      <c r="R200" s="2"/>
      <c r="S200" s="2"/>
      <c r="T200" s="2"/>
      <c r="U200" s="2"/>
      <c r="V200" s="2"/>
    </row>
    <row r="201" spans="1:22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5"/>
      <c r="P201" s="2"/>
      <c r="Q201" s="2"/>
      <c r="R201" s="2"/>
      <c r="S201" s="2"/>
      <c r="T201" s="2"/>
      <c r="U201" s="2"/>
      <c r="V201" s="2"/>
    </row>
    <row r="202" spans="1:22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5"/>
      <c r="P202" s="2"/>
      <c r="Q202" s="2"/>
      <c r="R202" s="2"/>
      <c r="S202" s="2"/>
      <c r="T202" s="2"/>
      <c r="U202" s="2"/>
      <c r="V202" s="2"/>
    </row>
    <row r="203" spans="1:22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5"/>
      <c r="P203" s="2"/>
      <c r="Q203" s="2"/>
      <c r="R203" s="2"/>
      <c r="S203" s="2"/>
      <c r="T203" s="2"/>
      <c r="U203" s="2"/>
      <c r="V203" s="2"/>
    </row>
    <row r="204" spans="1:22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5"/>
      <c r="P204" s="2"/>
      <c r="Q204" s="2"/>
      <c r="R204" s="2"/>
      <c r="S204" s="2"/>
      <c r="T204" s="2"/>
      <c r="U204" s="2"/>
      <c r="V204" s="2"/>
    </row>
    <row r="205" spans="1:22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5"/>
      <c r="P205" s="2"/>
      <c r="Q205" s="2"/>
      <c r="R205" s="2"/>
      <c r="S205" s="2"/>
      <c r="T205" s="2"/>
      <c r="U205" s="2"/>
      <c r="V205" s="2"/>
    </row>
    <row r="206" spans="1:22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5"/>
      <c r="P206" s="2"/>
      <c r="Q206" s="2"/>
      <c r="R206" s="2"/>
      <c r="S206" s="2"/>
      <c r="T206" s="2"/>
      <c r="U206" s="2"/>
      <c r="V206" s="2"/>
    </row>
    <row r="207" spans="1:22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5"/>
      <c r="P207" s="2"/>
      <c r="Q207" s="2"/>
      <c r="R207" s="2"/>
      <c r="S207" s="2"/>
      <c r="T207" s="2"/>
      <c r="U207" s="2"/>
      <c r="V207" s="2"/>
    </row>
    <row r="208" spans="1:22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5"/>
      <c r="P208" s="2"/>
      <c r="Q208" s="2"/>
      <c r="R208" s="2"/>
      <c r="S208" s="2"/>
      <c r="T208" s="2"/>
      <c r="U208" s="2"/>
      <c r="V208" s="2"/>
    </row>
    <row r="209" spans="1:22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5"/>
      <c r="P209" s="2"/>
      <c r="Q209" s="2"/>
      <c r="R209" s="2"/>
      <c r="S209" s="2"/>
      <c r="T209" s="2"/>
      <c r="U209" s="2"/>
      <c r="V209" s="2"/>
    </row>
    <row r="210" spans="1:22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5"/>
      <c r="P210" s="2"/>
      <c r="Q210" s="2"/>
      <c r="R210" s="2"/>
      <c r="S210" s="2"/>
      <c r="T210" s="2"/>
      <c r="U210" s="2"/>
      <c r="V210" s="2"/>
    </row>
    <row r="211" spans="1:22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5"/>
      <c r="P211" s="2"/>
      <c r="Q211" s="2"/>
      <c r="R211" s="2"/>
      <c r="S211" s="2"/>
      <c r="T211" s="2"/>
      <c r="U211" s="2"/>
      <c r="V211" s="2"/>
    </row>
    <row r="212" spans="1:22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5"/>
      <c r="P212" s="2"/>
      <c r="Q212" s="2"/>
      <c r="R212" s="2"/>
      <c r="S212" s="2"/>
      <c r="T212" s="2"/>
      <c r="U212" s="2"/>
      <c r="V212" s="2"/>
    </row>
    <row r="213" spans="1:22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5"/>
      <c r="P213" s="2"/>
      <c r="Q213" s="2"/>
      <c r="R213" s="2"/>
      <c r="S213" s="2"/>
      <c r="T213" s="2"/>
      <c r="U213" s="2"/>
      <c r="V213" s="2"/>
    </row>
    <row r="214" spans="1:22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5"/>
      <c r="P214" s="2"/>
      <c r="Q214" s="2"/>
      <c r="R214" s="2"/>
      <c r="S214" s="2"/>
      <c r="T214" s="2"/>
      <c r="U214" s="2"/>
      <c r="V214" s="2"/>
    </row>
    <row r="215" spans="1:22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5"/>
      <c r="P215" s="2"/>
      <c r="Q215" s="2"/>
      <c r="R215" s="2"/>
      <c r="S215" s="2"/>
      <c r="T215" s="2"/>
      <c r="U215" s="2"/>
      <c r="V215" s="2"/>
    </row>
    <row r="216" spans="1:22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5"/>
      <c r="P216" s="2"/>
      <c r="Q216" s="2"/>
      <c r="R216" s="2"/>
      <c r="S216" s="2"/>
      <c r="T216" s="2"/>
      <c r="U216" s="2"/>
      <c r="V216" s="2"/>
    </row>
    <row r="217" spans="1:22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5"/>
      <c r="P217" s="2"/>
      <c r="Q217" s="2"/>
      <c r="R217" s="2"/>
      <c r="S217" s="2"/>
      <c r="T217" s="2"/>
      <c r="U217" s="2"/>
      <c r="V217" s="2"/>
    </row>
    <row r="218" spans="1:22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5"/>
      <c r="P218" s="2"/>
      <c r="Q218" s="2"/>
      <c r="R218" s="2"/>
      <c r="S218" s="2"/>
      <c r="T218" s="2"/>
      <c r="U218" s="2"/>
      <c r="V218" s="2"/>
    </row>
    <row r="219" spans="1:22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5"/>
      <c r="P219" s="2"/>
      <c r="Q219" s="2"/>
      <c r="R219" s="2"/>
      <c r="S219" s="2"/>
      <c r="T219" s="2"/>
      <c r="U219" s="2"/>
      <c r="V219" s="2"/>
    </row>
    <row r="220" spans="1:22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5"/>
      <c r="P220" s="2"/>
      <c r="Q220" s="2"/>
      <c r="R220" s="2"/>
      <c r="S220" s="2"/>
      <c r="T220" s="2"/>
      <c r="U220" s="2"/>
      <c r="V220" s="2"/>
    </row>
    <row r="221" spans="1:22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5"/>
      <c r="P221" s="2"/>
      <c r="Q221" s="2"/>
      <c r="R221" s="2"/>
      <c r="S221" s="2"/>
      <c r="T221" s="2"/>
      <c r="U221" s="2"/>
      <c r="V221" s="2"/>
    </row>
    <row r="222" spans="1:22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5"/>
      <c r="P222" s="2"/>
      <c r="Q222" s="2"/>
      <c r="R222" s="2"/>
      <c r="S222" s="2"/>
      <c r="T222" s="2"/>
      <c r="U222" s="2"/>
      <c r="V222" s="2"/>
    </row>
    <row r="223" spans="1:22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5"/>
      <c r="P223" s="2"/>
      <c r="Q223" s="2"/>
      <c r="R223" s="2"/>
      <c r="S223" s="2"/>
      <c r="T223" s="2"/>
      <c r="U223" s="2"/>
      <c r="V223" s="2"/>
    </row>
    <row r="224" spans="1:22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5"/>
      <c r="P224" s="2"/>
      <c r="Q224" s="2"/>
      <c r="R224" s="2"/>
      <c r="S224" s="2"/>
      <c r="T224" s="2"/>
      <c r="U224" s="2"/>
      <c r="V224" s="2"/>
    </row>
    <row r="225" spans="1:22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5"/>
      <c r="P225" s="2"/>
      <c r="Q225" s="2"/>
      <c r="R225" s="2"/>
      <c r="S225" s="2"/>
      <c r="T225" s="2"/>
      <c r="U225" s="2"/>
      <c r="V225" s="2"/>
    </row>
    <row r="226" spans="1:22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5"/>
      <c r="P226" s="2"/>
      <c r="Q226" s="2"/>
      <c r="R226" s="2"/>
      <c r="S226" s="2"/>
      <c r="T226" s="2"/>
      <c r="U226" s="2"/>
      <c r="V226" s="2"/>
    </row>
    <row r="227" spans="1:22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5"/>
      <c r="P227" s="2"/>
      <c r="Q227" s="2"/>
      <c r="R227" s="2"/>
      <c r="S227" s="2"/>
      <c r="T227" s="2"/>
      <c r="U227" s="2"/>
      <c r="V227" s="2"/>
    </row>
    <row r="228" spans="1:22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5"/>
      <c r="P228" s="2"/>
      <c r="Q228" s="2"/>
      <c r="R228" s="2"/>
      <c r="S228" s="2"/>
      <c r="T228" s="2"/>
      <c r="U228" s="2"/>
      <c r="V228" s="2"/>
    </row>
    <row r="229" spans="1:22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5"/>
      <c r="P229" s="2"/>
      <c r="Q229" s="2"/>
      <c r="R229" s="2"/>
      <c r="S229" s="2"/>
      <c r="T229" s="2"/>
      <c r="U229" s="2"/>
      <c r="V229" s="2"/>
    </row>
    <row r="230" spans="1:22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5"/>
      <c r="P230" s="2"/>
      <c r="Q230" s="2"/>
      <c r="R230" s="2"/>
      <c r="S230" s="2"/>
      <c r="T230" s="2"/>
      <c r="U230" s="2"/>
      <c r="V230" s="2"/>
    </row>
    <row r="231" spans="1:22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5"/>
      <c r="P231" s="2"/>
      <c r="Q231" s="2"/>
      <c r="R231" s="2"/>
      <c r="S231" s="2"/>
      <c r="T231" s="2"/>
      <c r="U231" s="2"/>
      <c r="V231" s="2"/>
    </row>
    <row r="232" spans="1:22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5"/>
      <c r="P232" s="2"/>
      <c r="Q232" s="2"/>
      <c r="R232" s="2"/>
      <c r="S232" s="2"/>
      <c r="T232" s="2"/>
      <c r="U232" s="2"/>
      <c r="V232" s="2"/>
    </row>
    <row r="233" spans="1:22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5"/>
      <c r="P233" s="2"/>
      <c r="Q233" s="2"/>
      <c r="R233" s="2"/>
      <c r="S233" s="2"/>
      <c r="T233" s="2"/>
      <c r="U233" s="2"/>
      <c r="V233" s="2"/>
    </row>
    <row r="234" spans="1:22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5"/>
      <c r="P234" s="2"/>
      <c r="Q234" s="2"/>
      <c r="R234" s="2"/>
      <c r="S234" s="2"/>
      <c r="T234" s="2"/>
      <c r="U234" s="2"/>
      <c r="V234" s="2"/>
    </row>
    <row r="235" spans="1:22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5"/>
      <c r="P235" s="2"/>
      <c r="Q235" s="2"/>
      <c r="R235" s="2"/>
      <c r="S235" s="2"/>
      <c r="T235" s="2"/>
      <c r="U235" s="2"/>
      <c r="V235" s="2"/>
    </row>
    <row r="236" spans="1:22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5"/>
      <c r="P236" s="2"/>
      <c r="Q236" s="2"/>
      <c r="R236" s="2"/>
      <c r="S236" s="2"/>
      <c r="T236" s="2"/>
      <c r="U236" s="2"/>
      <c r="V236" s="2"/>
    </row>
    <row r="237" spans="1:22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5"/>
      <c r="P237" s="2"/>
      <c r="Q237" s="2"/>
      <c r="R237" s="2"/>
      <c r="S237" s="2"/>
      <c r="T237" s="2"/>
      <c r="U237" s="2"/>
      <c r="V237" s="2"/>
    </row>
    <row r="238" spans="1:22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5"/>
      <c r="P238" s="2"/>
      <c r="Q238" s="2"/>
      <c r="R238" s="2"/>
      <c r="S238" s="2"/>
      <c r="T238" s="2"/>
      <c r="U238" s="2"/>
      <c r="V238" s="2"/>
    </row>
    <row r="239" spans="1:22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5"/>
      <c r="P239" s="2"/>
      <c r="Q239" s="2"/>
      <c r="R239" s="2"/>
      <c r="S239" s="2"/>
      <c r="T239" s="2"/>
      <c r="U239" s="2"/>
      <c r="V239" s="2"/>
    </row>
    <row r="240" spans="1:22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5"/>
      <c r="P240" s="2"/>
      <c r="Q240" s="2"/>
      <c r="R240" s="2"/>
      <c r="S240" s="2"/>
      <c r="T240" s="2"/>
      <c r="U240" s="2"/>
      <c r="V240" s="2"/>
    </row>
    <row r="241" spans="1:22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5"/>
      <c r="P241" s="2"/>
      <c r="Q241" s="2"/>
      <c r="R241" s="2"/>
      <c r="S241" s="2"/>
      <c r="T241" s="2"/>
      <c r="U241" s="2"/>
      <c r="V241" s="2"/>
    </row>
    <row r="242" spans="1:22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5"/>
      <c r="P242" s="2"/>
      <c r="Q242" s="2"/>
      <c r="R242" s="2"/>
      <c r="S242" s="2"/>
      <c r="T242" s="2"/>
      <c r="U242" s="2"/>
      <c r="V242" s="2"/>
    </row>
    <row r="243" spans="1:22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5"/>
      <c r="P243" s="2"/>
      <c r="Q243" s="2"/>
      <c r="R243" s="2"/>
      <c r="S243" s="2"/>
      <c r="T243" s="2"/>
      <c r="U243" s="2"/>
      <c r="V243" s="2"/>
    </row>
    <row r="244" spans="1:22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5"/>
      <c r="P244" s="2"/>
      <c r="Q244" s="2"/>
      <c r="R244" s="2"/>
      <c r="S244" s="2"/>
      <c r="T244" s="2"/>
      <c r="U244" s="2"/>
      <c r="V244" s="2"/>
    </row>
    <row r="245" spans="1:22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5"/>
      <c r="P245" s="2"/>
      <c r="Q245" s="2"/>
      <c r="R245" s="2"/>
      <c r="S245" s="2"/>
      <c r="T245" s="2"/>
      <c r="U245" s="2"/>
      <c r="V245" s="2"/>
    </row>
    <row r="246" spans="1:22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5"/>
      <c r="P246" s="2"/>
      <c r="Q246" s="2"/>
      <c r="R246" s="2"/>
      <c r="S246" s="2"/>
      <c r="T246" s="2"/>
      <c r="U246" s="2"/>
      <c r="V246" s="2"/>
    </row>
    <row r="247" spans="1:22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5"/>
      <c r="P247" s="2"/>
      <c r="Q247" s="2"/>
      <c r="R247" s="2"/>
      <c r="S247" s="2"/>
      <c r="T247" s="2"/>
      <c r="U247" s="2"/>
      <c r="V247" s="2"/>
    </row>
    <row r="248" spans="1:22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5"/>
      <c r="P248" s="2"/>
      <c r="Q248" s="2"/>
      <c r="R248" s="2"/>
      <c r="S248" s="2"/>
      <c r="T248" s="2"/>
      <c r="U248" s="2"/>
      <c r="V248" s="2"/>
    </row>
    <row r="249" spans="1:22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5"/>
      <c r="P249" s="2"/>
      <c r="Q249" s="2"/>
      <c r="R249" s="2"/>
      <c r="S249" s="2"/>
      <c r="T249" s="2"/>
      <c r="U249" s="2"/>
      <c r="V249" s="2"/>
    </row>
    <row r="250" spans="1:22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5"/>
      <c r="P250" s="2"/>
      <c r="Q250" s="2"/>
      <c r="R250" s="2"/>
      <c r="S250" s="2"/>
      <c r="T250" s="2"/>
      <c r="U250" s="2"/>
      <c r="V250" s="2"/>
    </row>
    <row r="251" spans="1:22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5"/>
      <c r="P251" s="2"/>
      <c r="Q251" s="2"/>
      <c r="R251" s="2"/>
      <c r="S251" s="2"/>
      <c r="T251" s="2"/>
      <c r="U251" s="2"/>
      <c r="V251" s="2"/>
    </row>
    <row r="252" spans="1:22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5"/>
      <c r="P252" s="2"/>
      <c r="Q252" s="2"/>
      <c r="R252" s="2"/>
      <c r="S252" s="2"/>
      <c r="T252" s="2"/>
      <c r="U252" s="2"/>
      <c r="V252" s="2"/>
    </row>
    <row r="253" spans="1:22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5"/>
      <c r="P253" s="2"/>
      <c r="Q253" s="2"/>
      <c r="R253" s="2"/>
      <c r="S253" s="2"/>
      <c r="T253" s="2"/>
      <c r="U253" s="2"/>
      <c r="V253" s="2"/>
    </row>
    <row r="254" spans="1:22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5"/>
      <c r="P254" s="2"/>
      <c r="Q254" s="2"/>
      <c r="R254" s="2"/>
      <c r="S254" s="2"/>
      <c r="T254" s="2"/>
      <c r="U254" s="2"/>
      <c r="V254" s="2"/>
    </row>
    <row r="255" spans="1:22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5"/>
      <c r="P255" s="2"/>
      <c r="Q255" s="2"/>
      <c r="R255" s="2"/>
      <c r="S255" s="2"/>
      <c r="T255" s="2"/>
      <c r="U255" s="2"/>
      <c r="V255" s="2"/>
    </row>
    <row r="256" spans="1:22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5"/>
      <c r="P256" s="2"/>
      <c r="Q256" s="2"/>
      <c r="R256" s="2"/>
      <c r="S256" s="2"/>
      <c r="T256" s="2"/>
      <c r="U256" s="2"/>
      <c r="V256" s="2"/>
    </row>
    <row r="257" spans="1:22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5"/>
      <c r="P257" s="2"/>
      <c r="Q257" s="2"/>
      <c r="R257" s="2"/>
      <c r="S257" s="2"/>
      <c r="T257" s="2"/>
      <c r="U257" s="2"/>
      <c r="V257" s="2"/>
    </row>
    <row r="258" spans="1:22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5"/>
      <c r="P258" s="2"/>
      <c r="Q258" s="2"/>
      <c r="R258" s="2"/>
      <c r="S258" s="2"/>
      <c r="T258" s="2"/>
      <c r="U258" s="2"/>
      <c r="V258" s="2"/>
    </row>
    <row r="259" spans="1:22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5"/>
      <c r="P259" s="2"/>
      <c r="Q259" s="2"/>
      <c r="R259" s="2"/>
      <c r="S259" s="2"/>
      <c r="T259" s="2"/>
      <c r="U259" s="2"/>
      <c r="V259" s="2"/>
    </row>
    <row r="260" spans="1:22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5"/>
      <c r="P260" s="2"/>
      <c r="Q260" s="2"/>
      <c r="R260" s="2"/>
      <c r="S260" s="2"/>
      <c r="T260" s="2"/>
      <c r="U260" s="2"/>
      <c r="V260" s="2"/>
    </row>
    <row r="261" spans="1:22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5"/>
      <c r="P261" s="2"/>
      <c r="Q261" s="2"/>
      <c r="R261" s="2"/>
      <c r="S261" s="2"/>
      <c r="T261" s="2"/>
      <c r="U261" s="2"/>
      <c r="V261" s="2"/>
    </row>
    <row r="262" spans="1:22" ht="15.75" customHeight="1" x14ac:dyDescent="0.25"/>
    <row r="263" spans="1:22" ht="15.75" customHeight="1" x14ac:dyDescent="0.25"/>
    <row r="264" spans="1:22" ht="15.75" customHeight="1" x14ac:dyDescent="0.25"/>
    <row r="265" spans="1:22" ht="15.75" customHeight="1" x14ac:dyDescent="0.25"/>
    <row r="266" spans="1:22" ht="15.75" customHeight="1" x14ac:dyDescent="0.25"/>
    <row r="267" spans="1:22" ht="15.75" customHeight="1" x14ac:dyDescent="0.25"/>
    <row r="268" spans="1:22" ht="15.75" customHeight="1" x14ac:dyDescent="0.25"/>
    <row r="269" spans="1:22" ht="15.75" customHeight="1" x14ac:dyDescent="0.25"/>
    <row r="270" spans="1:22" ht="15.75" customHeight="1" x14ac:dyDescent="0.25"/>
    <row r="271" spans="1:22" ht="15.75" customHeight="1" x14ac:dyDescent="0.25"/>
    <row r="272" spans="1:2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U4:W4"/>
    <mergeCell ref="A1:K1"/>
    <mergeCell ref="A2:K2"/>
    <mergeCell ref="A3:K3"/>
    <mergeCell ref="A58:K58"/>
    <mergeCell ref="A59:K59"/>
    <mergeCell ref="A61:K61"/>
    <mergeCell ref="A62:K62"/>
    <mergeCell ref="O4:S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546875" defaultRowHeight="15" customHeight="1" x14ac:dyDescent="0.25"/>
  <cols>
    <col min="1" max="1" width="34.5546875" customWidth="1"/>
    <col min="2" max="6" width="15.44140625" customWidth="1"/>
    <col min="7" max="26" width="8.5546875" customWidth="1"/>
  </cols>
  <sheetData>
    <row r="1" spans="1:26" ht="21.75" customHeight="1" x14ac:dyDescent="0.25">
      <c r="A1" s="1" t="s">
        <v>0</v>
      </c>
      <c r="B1" s="1"/>
      <c r="C1" s="2"/>
    </row>
    <row r="2" spans="1:26" ht="21.75" customHeight="1" x14ac:dyDescent="0.25">
      <c r="A2" s="3" t="s">
        <v>1</v>
      </c>
      <c r="B2" s="4"/>
      <c r="C2" s="2"/>
    </row>
    <row r="3" spans="1:26" ht="21.75" customHeight="1" x14ac:dyDescent="0.25">
      <c r="A3" s="4" t="s">
        <v>2</v>
      </c>
      <c r="B3" s="4"/>
      <c r="C3" s="2"/>
    </row>
    <row r="4" spans="1:26" ht="21.75" customHeight="1" thickBot="1" x14ac:dyDescent="0.3">
      <c r="A4" s="69" t="s">
        <v>4</v>
      </c>
      <c r="B4" s="70"/>
      <c r="C4" s="63"/>
      <c r="D4" s="63"/>
      <c r="E4" s="63"/>
      <c r="F4" s="71"/>
    </row>
    <row r="5" spans="1:26" ht="31.8" thickBot="1" x14ac:dyDescent="0.3">
      <c r="A5" s="72"/>
      <c r="B5" s="73" t="s">
        <v>6</v>
      </c>
      <c r="C5" s="74" t="s">
        <v>7</v>
      </c>
      <c r="D5" s="74" t="s">
        <v>8</v>
      </c>
      <c r="E5" s="74" t="s">
        <v>9</v>
      </c>
      <c r="F5" s="75" t="s">
        <v>11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2" thickBot="1" x14ac:dyDescent="0.3">
      <c r="A6" s="76" t="s">
        <v>13</v>
      </c>
      <c r="B6" s="13" t="s">
        <v>15</v>
      </c>
      <c r="C6" s="13" t="s">
        <v>15</v>
      </c>
      <c r="D6" s="13" t="s">
        <v>15</v>
      </c>
      <c r="E6" s="13" t="s">
        <v>15</v>
      </c>
      <c r="F6" s="77" t="s">
        <v>15</v>
      </c>
    </row>
    <row r="7" spans="1:26" ht="27" customHeight="1" x14ac:dyDescent="0.25">
      <c r="A7" s="78" t="s">
        <v>18</v>
      </c>
      <c r="B7" s="15">
        <v>0</v>
      </c>
      <c r="C7" s="15">
        <v>0</v>
      </c>
      <c r="D7" s="15">
        <v>0</v>
      </c>
      <c r="E7" s="15">
        <v>0</v>
      </c>
      <c r="F7" s="79">
        <v>0</v>
      </c>
    </row>
    <row r="8" spans="1:26" ht="27" customHeight="1" x14ac:dyDescent="0.25">
      <c r="A8" s="80" t="s">
        <v>24</v>
      </c>
      <c r="B8" s="17">
        <v>0</v>
      </c>
      <c r="C8" s="17">
        <v>0</v>
      </c>
      <c r="D8" s="17">
        <v>0</v>
      </c>
      <c r="E8" s="17">
        <v>0</v>
      </c>
      <c r="F8" s="81">
        <v>0</v>
      </c>
    </row>
    <row r="9" spans="1:26" ht="27" customHeight="1" x14ac:dyDescent="0.25">
      <c r="A9" s="82" t="s">
        <v>32</v>
      </c>
      <c r="B9" s="17">
        <v>0</v>
      </c>
      <c r="C9" s="17">
        <v>0</v>
      </c>
      <c r="D9" s="17">
        <v>0</v>
      </c>
      <c r="E9" s="17">
        <v>0</v>
      </c>
      <c r="F9" s="81">
        <v>0</v>
      </c>
    </row>
    <row r="10" spans="1:26" ht="27" customHeight="1" x14ac:dyDescent="0.25">
      <c r="A10" s="82" t="s">
        <v>35</v>
      </c>
      <c r="B10" s="17">
        <v>0</v>
      </c>
      <c r="C10" s="17">
        <v>0</v>
      </c>
      <c r="D10" s="17">
        <v>0</v>
      </c>
      <c r="E10" s="17">
        <v>0</v>
      </c>
      <c r="F10" s="81">
        <v>0</v>
      </c>
    </row>
    <row r="11" spans="1:26" ht="27" customHeight="1" x14ac:dyDescent="0.25">
      <c r="A11" s="82" t="s">
        <v>41</v>
      </c>
      <c r="B11" s="17">
        <v>0</v>
      </c>
      <c r="C11" s="17">
        <v>0</v>
      </c>
      <c r="D11" s="17">
        <v>0</v>
      </c>
      <c r="E11" s="17">
        <v>0</v>
      </c>
      <c r="F11" s="81">
        <v>0</v>
      </c>
    </row>
    <row r="12" spans="1:26" ht="27" customHeight="1" thickBot="1" x14ac:dyDescent="0.3">
      <c r="A12" s="83" t="s">
        <v>44</v>
      </c>
      <c r="B12" s="84">
        <v>0</v>
      </c>
      <c r="C12" s="84">
        <v>0</v>
      </c>
      <c r="D12" s="84">
        <v>0</v>
      </c>
      <c r="E12" s="84">
        <v>0</v>
      </c>
      <c r="F12" s="85">
        <v>0</v>
      </c>
    </row>
    <row r="13" spans="1:26" ht="12.75" customHeight="1" thickBot="1" x14ac:dyDescent="0.3"/>
    <row r="14" spans="1:26" ht="15.6" x14ac:dyDescent="0.25">
      <c r="A14" s="28" t="s">
        <v>50</v>
      </c>
      <c r="B14" s="30">
        <v>0</v>
      </c>
      <c r="C14" s="30">
        <v>0</v>
      </c>
      <c r="D14" s="30">
        <v>0</v>
      </c>
      <c r="E14" s="30">
        <v>0</v>
      </c>
      <c r="F14" s="30">
        <v>0</v>
      </c>
    </row>
    <row r="15" spans="1:26" ht="12.75" customHeight="1" x14ac:dyDescent="0.25">
      <c r="A15" s="64" t="s">
        <v>54</v>
      </c>
      <c r="B15" s="55"/>
    </row>
    <row r="16" spans="1:26" ht="12.75" customHeight="1" x14ac:dyDescent="0.25"/>
    <row r="17" spans="1:12" ht="12.75" customHeight="1" x14ac:dyDescent="0.25">
      <c r="A17" s="65" t="s">
        <v>53</v>
      </c>
      <c r="B17" s="66"/>
      <c r="C17" s="66"/>
      <c r="D17" s="66"/>
      <c r="E17" s="66"/>
      <c r="F17" s="66"/>
      <c r="G17" s="4"/>
      <c r="H17" s="4"/>
      <c r="I17" s="4"/>
      <c r="J17" s="4"/>
      <c r="K17" s="4"/>
      <c r="L17" s="4"/>
    </row>
    <row r="18" spans="1:12" ht="51.75" customHeight="1" x14ac:dyDescent="0.25">
      <c r="A18" s="56"/>
      <c r="B18" s="57"/>
      <c r="C18" s="57"/>
      <c r="D18" s="57"/>
      <c r="E18" s="57"/>
      <c r="F18" s="58"/>
      <c r="G18" s="2"/>
      <c r="H18" s="2"/>
      <c r="I18" s="2"/>
      <c r="J18" s="2"/>
      <c r="K18" s="2"/>
      <c r="L18" s="2"/>
    </row>
    <row r="19" spans="1:12" ht="12.75" customHeight="1" x14ac:dyDescent="0.25"/>
    <row r="20" spans="1:12" ht="12.75" customHeight="1" x14ac:dyDescent="0.25">
      <c r="A20" s="65" t="s">
        <v>57</v>
      </c>
      <c r="B20" s="66"/>
      <c r="C20" s="66"/>
      <c r="D20" s="66"/>
      <c r="E20" s="66"/>
      <c r="F20" s="66"/>
    </row>
    <row r="21" spans="1:12" ht="51.75" customHeight="1" x14ac:dyDescent="0.25">
      <c r="A21" s="56"/>
      <c r="B21" s="57"/>
      <c r="C21" s="57"/>
      <c r="D21" s="57"/>
      <c r="E21" s="57"/>
      <c r="F21" s="58"/>
    </row>
    <row r="22" spans="1:12" ht="12.75" customHeight="1" x14ac:dyDescent="0.25"/>
    <row r="23" spans="1:12" ht="12.75" customHeight="1" x14ac:dyDescent="0.25"/>
    <row r="24" spans="1:12" ht="12.75" customHeight="1" x14ac:dyDescent="0.25"/>
    <row r="25" spans="1:12" ht="12.75" customHeight="1" x14ac:dyDescent="0.25"/>
    <row r="26" spans="1:12" ht="12.75" customHeight="1" x14ac:dyDescent="0.25"/>
    <row r="27" spans="1:12" ht="12.75" customHeight="1" x14ac:dyDescent="0.25"/>
    <row r="28" spans="1:12" ht="12.75" customHeight="1" x14ac:dyDescent="0.25"/>
    <row r="29" spans="1:12" ht="12.75" customHeight="1" x14ac:dyDescent="0.25"/>
    <row r="30" spans="1:12" ht="12.75" customHeight="1" x14ac:dyDescent="0.25"/>
    <row r="31" spans="1:12" ht="12.75" customHeight="1" x14ac:dyDescent="0.25"/>
    <row r="32" spans="1:1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6">
    <mergeCell ref="A21:F21"/>
    <mergeCell ref="B4:E4"/>
    <mergeCell ref="A15:B15"/>
    <mergeCell ref="A17:F17"/>
    <mergeCell ref="A18:F18"/>
    <mergeCell ref="A20:F2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3"/>
  <sheetViews>
    <sheetView tabSelected="1" workbookViewId="0"/>
  </sheetViews>
  <sheetFormatPr defaultColWidth="12.5546875" defaultRowHeight="15" customHeight="1" x14ac:dyDescent="0.25"/>
  <cols>
    <col min="1" max="1" width="33.44140625" customWidth="1"/>
    <col min="2" max="6" width="13.44140625" customWidth="1"/>
    <col min="7" max="26" width="8.5546875" customWidth="1"/>
  </cols>
  <sheetData>
    <row r="1" spans="1:6" ht="24" customHeight="1" x14ac:dyDescent="0.25">
      <c r="A1" s="1" t="s">
        <v>0</v>
      </c>
      <c r="B1" s="1"/>
      <c r="C1" s="2"/>
    </row>
    <row r="2" spans="1:6" ht="24" customHeight="1" x14ac:dyDescent="0.25">
      <c r="A2" s="3" t="s">
        <v>1</v>
      </c>
      <c r="B2" s="4"/>
      <c r="C2" s="2"/>
    </row>
    <row r="3" spans="1:6" ht="24" customHeight="1" x14ac:dyDescent="0.25">
      <c r="A3" s="4" t="s">
        <v>3</v>
      </c>
      <c r="B3" s="4"/>
      <c r="C3" s="2"/>
    </row>
    <row r="4" spans="1:6" ht="24" customHeight="1" x14ac:dyDescent="0.25">
      <c r="A4" s="6" t="s">
        <v>4</v>
      </c>
      <c r="B4" s="61"/>
      <c r="C4" s="62"/>
      <c r="D4" s="62"/>
      <c r="E4" s="63"/>
    </row>
    <row r="5" spans="1:6" ht="44.25" customHeight="1" x14ac:dyDescent="0.25">
      <c r="A5" s="8"/>
      <c r="B5" s="9" t="s">
        <v>6</v>
      </c>
      <c r="C5" s="10" t="s">
        <v>7</v>
      </c>
      <c r="D5" s="10" t="s">
        <v>8</v>
      </c>
      <c r="E5" s="10" t="s">
        <v>9</v>
      </c>
      <c r="F5" s="10" t="s">
        <v>11</v>
      </c>
    </row>
    <row r="6" spans="1:6" ht="15.6" x14ac:dyDescent="0.25">
      <c r="A6" s="12" t="s">
        <v>12</v>
      </c>
      <c r="B6" s="13" t="s">
        <v>14</v>
      </c>
      <c r="C6" s="13" t="s">
        <v>14</v>
      </c>
      <c r="D6" s="13" t="s">
        <v>14</v>
      </c>
      <c r="E6" s="13" t="s">
        <v>14</v>
      </c>
      <c r="F6" s="13" t="s">
        <v>14</v>
      </c>
    </row>
    <row r="7" spans="1:6" ht="24" customHeight="1" x14ac:dyDescent="0.25">
      <c r="A7" s="14" t="s">
        <v>17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</row>
    <row r="8" spans="1:6" ht="24" customHeight="1" x14ac:dyDescent="0.25">
      <c r="A8" s="16" t="s">
        <v>26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</row>
    <row r="9" spans="1:6" ht="24" customHeight="1" x14ac:dyDescent="0.25">
      <c r="A9" s="20" t="s">
        <v>33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</row>
    <row r="10" spans="1:6" ht="24" customHeight="1" x14ac:dyDescent="0.25">
      <c r="A10" s="20" t="s">
        <v>38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</row>
    <row r="11" spans="1:6" ht="24" customHeight="1" x14ac:dyDescent="0.25">
      <c r="A11" s="20" t="s">
        <v>43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</row>
    <row r="12" spans="1:6" ht="24" customHeight="1" x14ac:dyDescent="0.25">
      <c r="A12" s="26" t="s">
        <v>46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</row>
    <row r="13" spans="1:6" ht="27.75" customHeight="1" thickBot="1" x14ac:dyDescent="0.3">
      <c r="A13" s="23" t="s">
        <v>51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</row>
    <row r="14" spans="1:6" s="53" customFormat="1" ht="13.2" customHeight="1" thickBot="1" x14ac:dyDescent="0.3">
      <c r="A14" s="67"/>
      <c r="B14" s="68"/>
      <c r="C14" s="68"/>
      <c r="D14" s="68"/>
      <c r="E14" s="68"/>
      <c r="F14" s="68"/>
    </row>
    <row r="15" spans="1:6" s="53" customFormat="1" ht="16.2" thickBot="1" x14ac:dyDescent="0.3">
      <c r="A15" s="28" t="s">
        <v>50</v>
      </c>
      <c r="B15" s="30">
        <v>0</v>
      </c>
      <c r="C15" s="30">
        <v>0</v>
      </c>
      <c r="D15" s="30">
        <v>0</v>
      </c>
      <c r="E15" s="30">
        <v>0</v>
      </c>
      <c r="F15" s="30">
        <v>0</v>
      </c>
    </row>
    <row r="16" spans="1:6" s="53" customFormat="1" ht="13.2" x14ac:dyDescent="0.25">
      <c r="A16" s="64" t="s">
        <v>54</v>
      </c>
      <c r="B16" s="55"/>
    </row>
    <row r="17" spans="1:12" ht="12.75" customHeight="1" x14ac:dyDescent="0.25"/>
    <row r="18" spans="1:12" ht="12.75" customHeight="1" thickBot="1" x14ac:dyDescent="0.3">
      <c r="A18" s="65" t="s">
        <v>53</v>
      </c>
      <c r="B18" s="66"/>
      <c r="C18" s="66"/>
      <c r="D18" s="66"/>
      <c r="E18" s="66"/>
      <c r="F18" s="66"/>
      <c r="G18" s="4"/>
      <c r="H18" s="4"/>
      <c r="I18" s="4"/>
      <c r="J18" s="4"/>
      <c r="K18" s="4"/>
      <c r="L18" s="4"/>
    </row>
    <row r="19" spans="1:12" ht="51.75" customHeight="1" thickBot="1" x14ac:dyDescent="0.3">
      <c r="A19" s="56"/>
      <c r="B19" s="57"/>
      <c r="C19" s="57"/>
      <c r="D19" s="57"/>
      <c r="E19" s="57"/>
      <c r="F19" s="58"/>
      <c r="G19" s="2"/>
      <c r="H19" s="2"/>
      <c r="I19" s="2"/>
      <c r="J19" s="2"/>
      <c r="K19" s="2"/>
      <c r="L19" s="2"/>
    </row>
    <row r="20" spans="1:12" ht="12.75" customHeight="1" x14ac:dyDescent="0.25"/>
    <row r="21" spans="1:12" ht="12.75" customHeight="1" thickBot="1" x14ac:dyDescent="0.3">
      <c r="A21" s="65" t="s">
        <v>57</v>
      </c>
      <c r="B21" s="66"/>
      <c r="C21" s="66"/>
      <c r="D21" s="66"/>
      <c r="E21" s="66"/>
      <c r="F21" s="66"/>
    </row>
    <row r="22" spans="1:12" ht="52.5" customHeight="1" thickBot="1" x14ac:dyDescent="0.3">
      <c r="A22" s="56"/>
      <c r="B22" s="57"/>
      <c r="C22" s="57"/>
      <c r="D22" s="57"/>
      <c r="E22" s="57"/>
      <c r="F22" s="58"/>
    </row>
    <row r="23" spans="1:12" ht="12.75" customHeight="1" x14ac:dyDescent="0.25"/>
    <row r="24" spans="1:12" ht="12.75" customHeight="1" x14ac:dyDescent="0.25"/>
    <row r="25" spans="1:12" ht="12.75" customHeight="1" x14ac:dyDescent="0.25"/>
    <row r="26" spans="1:12" ht="12.75" customHeight="1" x14ac:dyDescent="0.25"/>
    <row r="27" spans="1:12" ht="12.75" customHeight="1" x14ac:dyDescent="0.25"/>
    <row r="28" spans="1:12" ht="12.75" customHeight="1" x14ac:dyDescent="0.25"/>
    <row r="29" spans="1:12" ht="12.75" customHeight="1" x14ac:dyDescent="0.25"/>
    <row r="30" spans="1:12" ht="12.75" customHeight="1" x14ac:dyDescent="0.25"/>
    <row r="31" spans="1:12" ht="12.75" customHeight="1" x14ac:dyDescent="0.25"/>
    <row r="32" spans="1:1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</sheetData>
  <mergeCells count="6">
    <mergeCell ref="B4:E4"/>
    <mergeCell ref="A18:F18"/>
    <mergeCell ref="A19:F19"/>
    <mergeCell ref="A21:F21"/>
    <mergeCell ref="A22:F22"/>
    <mergeCell ref="A16:B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Glockzin</dc:creator>
  <cp:lastModifiedBy>Stephanie Glockzin</cp:lastModifiedBy>
  <dcterms:created xsi:type="dcterms:W3CDTF">2026-09-29T23:30:48Z</dcterms:created>
  <dcterms:modified xsi:type="dcterms:W3CDTF">2026-10-06T22:15:34Z</dcterms:modified>
</cp:coreProperties>
</file>